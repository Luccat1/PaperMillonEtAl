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/Users/lucianocataldo/Downloads/"/>
    </mc:Choice>
  </mc:AlternateContent>
  <xr:revisionPtr revIDLastSave="0" documentId="13_ncr:1_{15E37EC8-E6C4-F746-80F3-E9CA83BF9F63}" xr6:coauthVersionLast="47" xr6:coauthVersionMax="47" xr10:uidLastSave="{00000000-0000-0000-0000-000000000000}"/>
  <bookViews>
    <workbookView xWindow="60" yWindow="620" windowWidth="28800" windowHeight="17380" activeTab="4" xr2:uid="{00000000-000D-0000-FFFF-FFFF00000000}"/>
  </bookViews>
  <sheets>
    <sheet name="Sheet1" sheetId="1" r:id="rId1"/>
    <sheet name="segmentos" sheetId="5" r:id="rId2"/>
    <sheet name="presencia_largo" sheetId="6" r:id="rId3"/>
    <sheet name="P_matrix" sheetId="9" r:id="rId4"/>
    <sheet name="J_matrix" sheetId="8" r:id="rId5"/>
    <sheet name="Sheet4" sheetId="7" r:id="rId6"/>
  </sheets>
  <calcPr calcId="191029"/>
  <pivotCaches>
    <pivotCache cacheId="5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6" l="1" a="1"/>
  <c r="F2" i="6" s="1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2" i="5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<sst xmlns="http://schemas.openxmlformats.org/spreadsheetml/2006/main" count="1842" uniqueCount="405">
  <si>
    <t>Category</t>
  </si>
  <si>
    <t>Code</t>
  </si>
  <si>
    <t>Text</t>
  </si>
  <si>
    <t>Coder</t>
  </si>
  <si>
    <t/>
  </si>
  <si>
    <t>J_INE</t>
  </si>
  <si>
    <t/>
  </si>
  <si>
    <t/>
  </si>
  <si>
    <t/>
  </si>
  <si>
    <t/>
  </si>
  <si>
    <t/>
  </si>
  <si>
    <t/>
  </si>
  <si>
    <t/>
  </si>
  <si>
    <t/>
  </si>
  <si>
    <t>Tipos de fuente</t>
  </si>
  <si>
    <t>Base de datos académicos</t>
  </si>
  <si>
    <t>Sí, por lo mismo busqué hartos artículos de SciELO y ResearchGate,</t>
  </si>
  <si>
    <t>Admin</t>
  </si>
  <si>
    <t>12/11/2025</t>
  </si>
  <si>
    <t>1,3%</t>
  </si>
  <si>
    <t/>
  </si>
  <si>
    <t>DOCUMENT</t>
  </si>
  <si>
    <t>Alta confiabilidad</t>
  </si>
  <si>
    <t>Reputación de la fuente</t>
  </si>
  <si>
    <t>Sí, por lo mismo busqué hartos artículos de SciELO y ResearchGate, que son investigaciones con
fundament</t>
  </si>
  <si>
    <t>Admin</t>
  </si>
  <si>
    <t>12/11/2025</t>
  </si>
  <si>
    <t>1,9%</t>
  </si>
  <si>
    <t/>
  </si>
  <si>
    <t>DOCUMENT
O</t>
  </si>
  <si>
    <t>Alta confiabilidad</t>
  </si>
  <si>
    <t>Procedencia de la info</t>
  </si>
  <si>
    <t>Sí, por lo mismo busqué hartos artículos de SciELO y ResearchGate, que son investigaciones con
fundamento, y también busqué páginas del gobierno o internacionales que sean “.gov” o de ese
estilo.</t>
  </si>
  <si>
    <t>Admin</t>
  </si>
  <si>
    <t>12/11/2025</t>
  </si>
  <si>
    <t>3,8%</t>
  </si>
  <si>
    <t/>
  </si>
  <si>
    <t>DOCUMENT
O</t>
  </si>
  <si>
    <t>Tipos de fuente</t>
  </si>
  <si>
    <t>Sitios gubernamentales</t>
  </si>
  <si>
    <t>también busqué páginas del gobierno o internacionales que sean “.gov” o de ese estilo.</t>
  </si>
  <si>
    <t>Admin</t>
  </si>
  <si>
    <t>12/11/2025</t>
  </si>
  <si>
    <t>1,7%</t>
  </si>
  <si>
    <t/>
  </si>
  <si>
    <t>DOCUMENT</t>
  </si>
  <si>
    <t>Alta confiabilidad</t>
  </si>
  <si>
    <t>Reputación de la fuente</t>
  </si>
  <si>
    <t>Como te mencioné, Linguee es una fuente confiable para realizar comparación de términos en el
texto fuente y el texto meta, pero más que eso…</t>
  </si>
  <si>
    <t>Admin</t>
  </si>
  <si>
    <t>12/11/2025</t>
  </si>
  <si>
    <t>3,0%</t>
  </si>
  <si>
    <t/>
  </si>
  <si>
    <t>DOCUMENT
O</t>
  </si>
  <si>
    <t>Utilidad de fuentes especializadas</t>
  </si>
  <si>
    <t>Rectificación terminológica</t>
  </si>
  <si>
    <t>Déjame recordar… bioreparación la cambié por biorremediación, que fue un término que vi en hartos
artículos de SciELO.</t>
  </si>
  <si>
    <t>Admin</t>
  </si>
  <si>
    <t>12/11/2025</t>
  </si>
  <si>
    <t>2,2%</t>
  </si>
  <si>
    <t/>
  </si>
  <si>
    <t>DOCUMENT
O</t>
  </si>
  <si>
    <t>Utilidad de fuentes especializadas</t>
  </si>
  <si>
    <t>Verificación terminológica</t>
  </si>
  <si>
    <t>Porque salían en textos paralelos que ya están como aprobados y tienen confiabilidad al referirse a
esos términos ya más establecidos.</t>
  </si>
  <si>
    <t>Admin</t>
  </si>
  <si>
    <t>12/11/2025</t>
  </si>
  <si>
    <t>2,6%</t>
  </si>
  <si>
    <t/>
  </si>
  <si>
    <t>DOCUMENT
O</t>
  </si>
  <si>
    <t>Percepción del proceso</t>
  </si>
  <si>
    <t>Organizado</t>
  </si>
  <si>
    <t>La verdad es que sí, yo siempre soy organizada, así que trato de tener todo organizado. Cuando me
sale un término muy difícil ahí me meto de lleno a buscar ese término correcto y después sigo con el
texto.</t>
  </si>
  <si>
    <t>Admin</t>
  </si>
  <si>
    <t>12/11/2025</t>
  </si>
  <si>
    <t>4,8%</t>
  </si>
  <si>
    <t/>
  </si>
  <si>
    <t>DOCUMENT
O</t>
  </si>
  <si>
    <t>Organización de búsqueda de info</t>
  </si>
  <si>
    <t>Paralelo</t>
  </si>
  <si>
    <t>Cuando me sale un término muy difícil ahí me meto de lleno a buscar ese término correcto y
después sigo con el texto.</t>
  </si>
  <si>
    <t>Admin</t>
  </si>
  <si>
    <t>12/11/2025</t>
  </si>
  <si>
    <t>2,8%</t>
  </si>
  <si>
    <t/>
  </si>
  <si>
    <t>DOCUMENT
O</t>
  </si>
  <si>
    <t>Etapas del proceso de documentación</t>
  </si>
  <si>
    <t>Documentación temática</t>
  </si>
  <si>
    <t>Lo que primero hice fue buscar el texto fuente y ver si había un referente en español sobre el tema</t>
  </si>
  <si>
    <t>Admin</t>
  </si>
  <si>
    <t>12/11/2025</t>
  </si>
  <si>
    <t>2,4%</t>
  </si>
  <si>
    <t/>
  </si>
  <si>
    <t>DOCUMENT</t>
  </si>
  <si>
    <t>Organización de búsqueda de info</t>
  </si>
  <si>
    <t>Secuencial</t>
  </si>
  <si>
    <t>Al no encontrar sobre ese tema en particular, después busqué los términos más importantes o que
se veían más difíciles en el texto para tener un poco de noción sobre qué trataba el texto.</t>
  </si>
  <si>
    <t>Admin</t>
  </si>
  <si>
    <t>12/11/2025</t>
  </si>
  <si>
    <t>4,1%</t>
  </si>
  <si>
    <t/>
  </si>
  <si>
    <t>DOCUMENT
O</t>
  </si>
  <si>
    <t>Etapas del proceso de documentación</t>
  </si>
  <si>
    <t>Búsqueda de términos</t>
  </si>
  <si>
    <t>después busqué los términos más importantes o que se veían más difíciles en el texto para tener un
poco de noción sobre qué trataba el texto.</t>
  </si>
  <si>
    <t>Admin</t>
  </si>
  <si>
    <t>12/11/2025</t>
  </si>
  <si>
    <t>3,2%</t>
  </si>
  <si>
    <t/>
  </si>
  <si>
    <t>DOCUMENT
O</t>
  </si>
  <si>
    <t>Etapas del proceso de documentación</t>
  </si>
  <si>
    <t>Identificar posibles problemas</t>
  </si>
  <si>
    <t>después busqué los términos más importantes o que se veían más difíciles en el texto</t>
  </si>
  <si>
    <t>Admin</t>
  </si>
  <si>
    <t>12/11/2025</t>
  </si>
  <si>
    <t>1,8%</t>
  </si>
  <si>
    <t/>
  </si>
  <si>
    <t>DOCUMENT</t>
  </si>
  <si>
    <t>Valoración de la documentación</t>
  </si>
  <si>
    <t>Positiva</t>
  </si>
  <si>
    <t>Sí, yo creo que la documentación es muy importante para obtener un producto final de calidad y
puede ayudarnos a determinar qué palabra ocupar en cada contexto.</t>
  </si>
  <si>
    <t>Admin</t>
  </si>
  <si>
    <t>12/11/2025</t>
  </si>
  <si>
    <t>3,3%</t>
  </si>
  <si>
    <t/>
  </si>
  <si>
    <t>DOCUMENT
O</t>
  </si>
  <si>
    <t>Utilidad de fuentes especializadas</t>
  </si>
  <si>
    <t>Adecuación terminológica</t>
  </si>
  <si>
    <t>Por ejemplo, una muy simple fue poner solamente “diésel” en lugar de poner “gasolina”, “gasóleo” u
otros tipos de términos que podían estar relacionados.</t>
  </si>
  <si>
    <t>Admin</t>
  </si>
  <si>
    <t>12/11/2025</t>
  </si>
  <si>
    <t>2,9%</t>
  </si>
  <si>
    <t/>
  </si>
  <si>
    <t>DOCUMENT
O</t>
  </si>
  <si>
    <t>Búsqueda previa-inicial</t>
  </si>
  <si>
    <t>Búsqueda terminológica</t>
  </si>
  <si>
    <t>Sí, pero más que eso busqué los términos importantes. Busqué documentos sobre los temas
importantes que aparecían en el documento.</t>
  </si>
  <si>
    <t>Admin</t>
  </si>
  <si>
    <t>12/11/2025</t>
  </si>
  <si>
    <t>2,4%</t>
  </si>
  <si>
    <t/>
  </si>
  <si>
    <t>DOCUMENT
O</t>
  </si>
  <si>
    <t>Búsqueda previa-inicial</t>
  </si>
  <si>
    <t>Búsqueda temática</t>
  </si>
  <si>
    <t>Busqué documentos sobre los temas importantes que aparecían en el documento.</t>
  </si>
  <si>
    <t>Admin</t>
  </si>
  <si>
    <t>12/11/2025</t>
  </si>
  <si>
    <t>1,3%</t>
  </si>
  <si>
    <t/>
  </si>
  <si>
    <t>DOCUMENT</t>
  </si>
  <si>
    <t>Utilidad de fuentes especializadas</t>
  </si>
  <si>
    <t>Comprensión textual</t>
  </si>
  <si>
    <t>Porque de esa forma puedo entregar un texto más cercano al texto fuente.</t>
  </si>
  <si>
    <t>Admin</t>
  </si>
  <si>
    <t>12/11/2025</t>
  </si>
  <si>
    <t>1,6%</t>
  </si>
  <si>
    <t/>
  </si>
  <si>
    <t>DOCUMENT</t>
  </si>
  <si>
    <t>Tipos de fuente</t>
  </si>
  <si>
    <t>Diccionario general</t>
  </si>
  <si>
    <t>Bueno, en primer lugar usé Linguee para comparar términos del inglés y español</t>
  </si>
  <si>
    <t>Admin</t>
  </si>
  <si>
    <t>12/11/2025</t>
  </si>
  <si>
    <t>1,6%</t>
  </si>
  <si>
    <t/>
  </si>
  <si>
    <t>DOCUMENT</t>
  </si>
  <si>
    <t>Búsqueda previa-inicial</t>
  </si>
  <si>
    <t>Búsqueda terminológica</t>
  </si>
  <si>
    <t>en primer lugar usé Linguee para comparar términos del inglés y español</t>
  </si>
  <si>
    <t>Admin</t>
  </si>
  <si>
    <t>12/11/2025</t>
  </si>
  <si>
    <t>1,5%</t>
  </si>
  <si>
    <t/>
  </si>
  <si>
    <t>DOCUMENT</t>
  </si>
  <si>
    <t>Documentación terminológica</t>
  </si>
  <si>
    <t>Revisión del equivalente</t>
  </si>
  <si>
    <t>después investigué los términos que me arrojó esa página para ver si efectivamente estaban
relacionados con lo que me estaba pidiendo la actividad.</t>
  </si>
  <si>
    <t>Admin</t>
  </si>
  <si>
    <t>12/11/2025</t>
  </si>
  <si>
    <t>2,8%</t>
  </si>
  <si>
    <t/>
  </si>
  <si>
    <t>DOCUMENT
O</t>
  </si>
  <si>
    <t>Tipos de fuente</t>
  </si>
  <si>
    <t>Glosarios</t>
  </si>
  <si>
    <t>Ocupe un glosario, pero solo uno</t>
  </si>
  <si>
    <t>Admin</t>
  </si>
  <si>
    <t>12/11/2025</t>
  </si>
  <si>
    <t>0,7%</t>
  </si>
  <si>
    <t/>
  </si>
  <si>
    <t>DOCUMENT</t>
  </si>
  <si>
    <t>Tipos de fuente</t>
  </si>
  <si>
    <t>Géneros similares</t>
  </si>
  <si>
    <t>Vi más textos paralelos en artículos y textos similares.</t>
  </si>
  <si>
    <t>Admin</t>
  </si>
  <si>
    <t>12/11/2025</t>
  </si>
  <si>
    <t>1,1%</t>
  </si>
  <si>
    <t/>
  </si>
  <si>
    <t>DOCUMENT</t>
  </si>
  <si>
    <t>Tipos de fuente</t>
  </si>
  <si>
    <t>Base de datos académicos</t>
  </si>
  <si>
    <t>En SciELO y ResearchGate.</t>
  </si>
  <si>
    <t>Admin</t>
  </si>
  <si>
    <t>12/11/2025</t>
  </si>
  <si>
    <t>0,5%</t>
  </si>
  <si>
    <t/>
  </si>
  <si>
    <t>DOCUMENT</t>
  </si>
  <si>
    <t>Utilidad de fuentes especializadas</t>
  </si>
  <si>
    <t>Comprensión textual</t>
  </si>
  <si>
    <t>Hay muchos artículos relacionados que sirven para tomar como referencia al ser textos similares.</t>
  </si>
  <si>
    <t>Admin</t>
  </si>
  <si>
    <t>12/11/2025</t>
  </si>
  <si>
    <t>1,7%</t>
  </si>
  <si>
    <t/>
  </si>
  <si>
    <t>DOCUMENT</t>
  </si>
  <si>
    <t>Tipos de fuente</t>
  </si>
  <si>
    <t>Géneros similares</t>
  </si>
  <si>
    <t>Hay muchos artículos relacionados que sirven para tomar como referencia al ser textos similares.</t>
  </si>
  <si>
    <t>Admin</t>
  </si>
  <si>
    <t>12/11/2025</t>
  </si>
  <si>
    <t>1,7%</t>
  </si>
  <si>
    <t/>
  </si>
  <si>
    <t>DOCUMENT</t>
  </si>
  <si>
    <t>No registro</t>
  </si>
  <si>
    <t>Limitación temporal</t>
  </si>
  <si>
    <t>En el ámbito de documentación sí lo hago, pero si es solamente una traducción de una hora y tiene
que ser rápido, no lo hago</t>
  </si>
  <si>
    <t>Admin</t>
  </si>
  <si>
    <t>12/11/2025</t>
  </si>
  <si>
    <t>3,0%</t>
  </si>
  <si>
    <t/>
  </si>
  <si>
    <t>DOCUMENT
O</t>
  </si>
  <si>
    <t>Registro de información</t>
  </si>
  <si>
    <t>Elaboración de glosarios</t>
  </si>
  <si>
    <t>Claro, me hago un glosario propio para tener un poco más de conocimiento sobre el tema.</t>
  </si>
  <si>
    <t>Admin</t>
  </si>
  <si>
    <t>12/11/2025</t>
  </si>
  <si>
    <t>1,9%</t>
  </si>
  <si>
    <t/>
  </si>
  <si>
    <t>DOCUMENT</t>
  </si>
  <si>
    <t>Registro</t>
  </si>
  <si>
    <t>Desconocimiento de la info</t>
  </si>
  <si>
    <t>Claro, me hago un glosario propio para tener un poco más de conocimiento sobre el tema.</t>
  </si>
  <si>
    <t>Admin</t>
  </si>
  <si>
    <t>12/11/2025</t>
  </si>
  <si>
    <t>1,9%</t>
  </si>
  <si>
    <t/>
  </si>
  <si>
    <t>DOCUMENT</t>
  </si>
  <si>
    <t>Ocupe el mismo formato que aprendimos en clase, el Excel.</t>
  </si>
  <si>
    <t>1,2%</t>
  </si>
  <si>
    <t>J_VE</t>
  </si>
  <si>
    <t>Por ejemplo, el “Protocolo de Madrid”, que según yo es el término correcto, porque pensé que era
algo diferente, pero the Madrid Protocol y el Protocolo de Madrid tienen exactamente la misma
definición.</t>
  </si>
  <si>
    <t>4,6%</t>
  </si>
  <si>
    <t>Sí, porque había palabras que no sabía o que realmente no conocía, y hubieran sido traducidas de
distintas formas si no me hubiese documentado.</t>
  </si>
  <si>
    <t>Desorganizado</t>
  </si>
  <si>
    <t>No, mi proceso de documentación suele ser así, entonces tal vez por eso no siento que esté dando
los mejores resultados.</t>
  </si>
  <si>
    <t>Limitaciones de documentación</t>
  </si>
  <si>
    <t>Temporal</t>
  </si>
  <si>
    <t>En realidad da una sensación de desorden y eres más consciente del tiempo que te queda. Al final,
la traducción sale no óptima.</t>
  </si>
  <si>
    <t>Ahí se desordena porque busco en el orden en que aparecen las palabras en el texto.</t>
  </si>
  <si>
    <t>ya de ahí simplemente busco. Ahí se desordena porque busco en el orden en que aparecen las
palabras en el texto.</t>
  </si>
  <si>
    <t>destacar las palabras que no sé o de las que estoy insegura</t>
  </si>
  <si>
    <t>Lectura previa del texto</t>
  </si>
  <si>
    <t>lo único que hago para organizar es leer el texto completo que me dan</t>
  </si>
  <si>
    <t>No, lo único que hago para organizar es leer el texto completo que me dan, destacar las palabras
que no sé o de las que estoy insegura, y ya de ahí simplemente busco</t>
  </si>
  <si>
    <t>No, lo único que hago para organizar es leer el texto completo que me dan, destacar las palabras
que no sé o de las que estoy insegura, y ya de ahí simplemente busco. Ahí se desordena porque
busco en el orden en que aparecen las palabras en el texto.</t>
  </si>
  <si>
    <t>6,8%</t>
  </si>
  <si>
    <t>Sí, por temas de tiempo, porque no iba a alcanzar.</t>
  </si>
  <si>
    <t>1,4%</t>
  </si>
  <si>
    <t>Baja confiabilidad</t>
  </si>
  <si>
    <t>Elección intuitiva</t>
  </si>
  <si>
    <t>Sí, no sentí que estaban excelentes, pero sentí que eran los términos adecuados, entonces
simplemente seguí traduciendo.</t>
  </si>
  <si>
    <t>No, porque no sentí que me iba a alcanzar el tiempo para hacerlo.</t>
  </si>
  <si>
    <t>Falta de hábito</t>
  </si>
  <si>
    <t>Sí, creo que ambas, principalmente que se me olvida y también me da un poco de flojera.</t>
  </si>
  <si>
    <t>Como estoy buscando un término específico, claro, me voy documentando por cada término,
entonces lo encuentro, lo entiendo y paso al siguiente y me olvido de documentarlo.</t>
  </si>
  <si>
    <t>3,7%</t>
  </si>
  <si>
    <t>Asimilación inmediata</t>
  </si>
  <si>
    <t>No, la verdad que no, porque a veces se me olvida</t>
  </si>
  <si>
    <t>Entonces, en realidad leí el documento y destaqué palabras específicas que sentía que no sabía, y
me documenté de esas palabras en específico.</t>
  </si>
  <si>
    <t>destaqué palabras específicas que sentía que no sabía, y me documenté de esas palabras en
específico.</t>
  </si>
  <si>
    <t>Ocupé solo un glosario, un glosario de términos científicos sobre impactos del cambio climático en
España.</t>
  </si>
  <si>
    <t>Estrategias de búsqueda de información</t>
  </si>
  <si>
    <t>Operadores booleanos</t>
  </si>
  <si>
    <t>Busqué en Google “glosario de terminología científica” y me apareció.</t>
  </si>
  <si>
    <t>Encontré muchos abstracts que hablaban de lo mismo pero tenían como los términos que estaba
buscando y explicaban más o menos de qué se trataba cada término.</t>
  </si>
  <si>
    <t>Comprensión terminológica</t>
  </si>
  <si>
    <t>y explicaban más o menos de qué se trataba cada término.</t>
  </si>
  <si>
    <t>P_INE</t>
  </si>
  <si>
    <t>me hago un glosario propio para tener un poco más de conocimiento sobre el tema.</t>
  </si>
  <si>
    <t>31/10/2025</t>
  </si>
  <si>
    <t>y también busqué páginas del gobierno o internacionales que sean “.gov” o de ese estilo.</t>
  </si>
  <si>
    <t>Comparación terminológica</t>
  </si>
  <si>
    <t>Linguee es una fuente confiable para realizar comparación de términos en el texto fuente y el texto
meta</t>
  </si>
  <si>
    <t>En el ámbito de documentación sí lo hago, pero si es solamente una traducción de una hora y tiene
que ser rápido, no lo hago.</t>
  </si>
  <si>
    <t>Ocupe un glosario, pero solo uno.</t>
  </si>
  <si>
    <t>y después investigué los términos que me arrojó esa página para ver si efectivamente estaban
relacionados con lo que me estaba pidiendo la actividad.</t>
  </si>
  <si>
    <t>Bueno, en primer lugar usé Linguee para comparar términos del inglés y español,</t>
  </si>
  <si>
    <t>Sí, pero más que eso busqué los términos importantes</t>
  </si>
  <si>
    <t>Origen de la información</t>
  </si>
  <si>
    <t>Wikipedia. Veo Wikipedia y lo ignoro.</t>
  </si>
  <si>
    <t>Déjame recordar… bioreparación la cambié por biorremediación, que fue un término que vi en hartos
artículos de SciELO</t>
  </si>
  <si>
    <t>Porque salían en textos paralelos que ya están como aprobados</t>
  </si>
  <si>
    <t>Lo que primero hice fue buscar el texto fuente y ver si había un referente en español sobre el tema.
Al no encontrar sobre ese tema en particular, después busqué los términos más importantes o que
se veían más difíciles en el texto para tener un poco de noción sobre qué trataba el texto.</t>
  </si>
  <si>
    <t>6,6%</t>
  </si>
  <si>
    <t>Lo que primero hice fue buscar el texto fuente y ver si había un referente en español sobre el tema.</t>
  </si>
  <si>
    <t>Identificación o extracción de términos</t>
  </si>
  <si>
    <t>que se veían más difíciles en el texto para tener un poco de noción sobre qué trataba el texto.</t>
  </si>
  <si>
    <t>2,3%</t>
  </si>
  <si>
    <t>P_VE</t>
  </si>
  <si>
    <t>03/11/2025</t>
  </si>
  <si>
    <t>Entonces, en realidad leí el documento</t>
  </si>
  <si>
    <t>0,8%</t>
  </si>
  <si>
    <t>No, porque por el tiempo no consideré que tenía mucho tiempo para buscar información y terminarlo.</t>
  </si>
  <si>
    <t>Sin documentación previa</t>
  </si>
  <si>
    <t>No, la verdad que no, porque a veces se me olvida cómo estoy buscando un término específico.
Claro, me voy documentando por cada término, entonces lo encuentro, lo entiendo y paso al
siguiente y me olvido de documentarlo.</t>
  </si>
  <si>
    <t>5,3%</t>
  </si>
  <si>
    <t>Desorganización de la información</t>
  </si>
  <si>
    <t>Sí, porque si me olvido no tengo dónde volver.</t>
  </si>
  <si>
    <t>Frecuencia de uso</t>
  </si>
  <si>
    <t>Porque se repetía en algunos casos.</t>
  </si>
  <si>
    <t>En realidad da una sensación de desorden y eres más consciente del tiempo que te queda</t>
  </si>
  <si>
    <t>Entrevista</t>
  </si>
  <si>
    <t>J</t>
  </si>
  <si>
    <t>VE</t>
  </si>
  <si>
    <t>P</t>
  </si>
  <si>
    <t>INE</t>
  </si>
  <si>
    <t>Pregunta</t>
  </si>
  <si>
    <t>Code_full</t>
  </si>
  <si>
    <t>Tiposdefuente_Basededatosacadémicos</t>
  </si>
  <si>
    <t>Altaconfiabilidad_Reputacióndelafuente</t>
  </si>
  <si>
    <t>Altaconfiabilidad_Procedenciadelainfo</t>
  </si>
  <si>
    <t>Tiposdefuente_Sitiosgubernamentales</t>
  </si>
  <si>
    <t>Utilidaddefuentesespecializadas_Rectificaciónterminológica</t>
  </si>
  <si>
    <t>Utilidaddefuentesespecializadas_Verificaciónterminológica</t>
  </si>
  <si>
    <t>Percepcióndelproceso_Organizado</t>
  </si>
  <si>
    <t>Organizacióndebúsquedadeinfo_Paralelo</t>
  </si>
  <si>
    <t>Etapasdelprocesodedocumentación_Documentacióntemática</t>
  </si>
  <si>
    <t>Organizacióndebúsquedadeinfo_Secuencial</t>
  </si>
  <si>
    <t>Etapasdelprocesodedocumentación_Búsquedadetérminos</t>
  </si>
  <si>
    <t>Etapasdelprocesodedocumentación_Identificarposiblesproblemas</t>
  </si>
  <si>
    <t>Valoracióndeladocumentación_Positiva</t>
  </si>
  <si>
    <t>Utilidaddefuentesespecializadas_Adecuaciónterminológica</t>
  </si>
  <si>
    <t>Búsquedaprevia-inicial_Búsquedaterminológica</t>
  </si>
  <si>
    <t>Búsquedaprevia-inicial_Búsquedatemática</t>
  </si>
  <si>
    <t>Utilidaddefuentesespecializadas_Comprensióntextual</t>
  </si>
  <si>
    <t>Tiposdefuente_Diccionariogeneral</t>
  </si>
  <si>
    <t>Documentaciónterminológica_Revisióndelequivalente</t>
  </si>
  <si>
    <t>Tiposdefuente_Glosarios</t>
  </si>
  <si>
    <t>Tiposdefuente_Génerossimilares</t>
  </si>
  <si>
    <t>Noregistro_Limitacióntemporal</t>
  </si>
  <si>
    <t>Registrodeinformación_Elaboracióndeglosarios</t>
  </si>
  <si>
    <t>Registro_Desconocimientodelainfo</t>
  </si>
  <si>
    <t>Percepcióndelproceso_Desorganizado</t>
  </si>
  <si>
    <t>Limitacionesdedocumentación_Temporal</t>
  </si>
  <si>
    <t>Etapasdelprocesodedocumentación_Lecturapreviadeltexto</t>
  </si>
  <si>
    <t>Bajaconfiabilidad_Elecciónintuitiva</t>
  </si>
  <si>
    <t>Noregistro_Faltadehábito</t>
  </si>
  <si>
    <t>Estrategiasdebúsquedadeinformación_Operadoresbooleanos</t>
  </si>
  <si>
    <t>Utilidaddefuentesespecializadas_Comprensiónterminológica</t>
  </si>
  <si>
    <t>Altaconfiabilidad_Comparaciónterminológica</t>
  </si>
  <si>
    <t>Bajaconfiabilidad_Origendelainformación</t>
  </si>
  <si>
    <t>Etapasdelprocesodedocumentación_Identificaciónoextraccióndetérminos</t>
  </si>
  <si>
    <t>Búsquedaprevia-inicial_Sindocumentaciónprevia</t>
  </si>
  <si>
    <t>Noregistro_Asimilacióninmediata</t>
  </si>
  <si>
    <t>Limitacionesdedocumentación_Desorganizacióndelainformación</t>
  </si>
  <si>
    <t>Altaconfiabilidad_Frecuenciadeuso</t>
  </si>
  <si>
    <t>Presencia</t>
  </si>
  <si>
    <t>Unidad</t>
  </si>
  <si>
    <t>Row Labels</t>
  </si>
  <si>
    <t>INE_Q1</t>
  </si>
  <si>
    <t>INE_Q10</t>
  </si>
  <si>
    <t>INE_Q11</t>
  </si>
  <si>
    <t>INE_Q13</t>
  </si>
  <si>
    <t>INE_Q14</t>
  </si>
  <si>
    <t>INE_Q15</t>
  </si>
  <si>
    <t>INE_Q17</t>
  </si>
  <si>
    <t>INE_Q18</t>
  </si>
  <si>
    <t>INE_Q19</t>
  </si>
  <si>
    <t>INE_Q2</t>
  </si>
  <si>
    <t>INE_Q20</t>
  </si>
  <si>
    <t>INE_Q21</t>
  </si>
  <si>
    <t>INE_Q22</t>
  </si>
  <si>
    <t>INE_Q3</t>
  </si>
  <si>
    <t>INE_Q5</t>
  </si>
  <si>
    <t>INE_Q6</t>
  </si>
  <si>
    <t>INE_Q7</t>
  </si>
  <si>
    <t>INE_Q9</t>
  </si>
  <si>
    <t>VE_Q1</t>
  </si>
  <si>
    <t>VE_Q10</t>
  </si>
  <si>
    <t>VE_Q11</t>
  </si>
  <si>
    <t>VE_Q13</t>
  </si>
  <si>
    <t>VE_Q14</t>
  </si>
  <si>
    <t>VE_Q16</t>
  </si>
  <si>
    <t>VE_Q17</t>
  </si>
  <si>
    <t>VE_Q18</t>
  </si>
  <si>
    <t>VE_Q19</t>
  </si>
  <si>
    <t>VE_Q20</t>
  </si>
  <si>
    <t>VE_Q3</t>
  </si>
  <si>
    <t>VE_Q4</t>
  </si>
  <si>
    <t>VE_Q6</t>
  </si>
  <si>
    <t>VE_Q7</t>
  </si>
  <si>
    <t>VE_Q8</t>
  </si>
  <si>
    <t>VE_Q9</t>
  </si>
  <si>
    <t>Grand Total</t>
  </si>
  <si>
    <t>Column Labels</t>
  </si>
  <si>
    <t>Sum of Presencia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</si>
</sst>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name val="Calibri"/>
      <family val="2"/>
    </font>
    <font>
      <b/>
      <sz val="7"/>
      <name val="Arial"/>
      <family val="2"/>
    </font>
    <font>
      <sz val="8"/>
      <name val="Times New Roman"/>
      <family val="2"/>
    </font>
    <font>
      <sz val="7"/>
      <name val="Arial"/>
      <family val="2"/>
    </font>
    <font>
      <sz val="11"/>
      <name val="Times New Roman"/>
      <family val="2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0A0A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DDEBF7"/>
        <bgColor rgb="FFDDEBF7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/>
      <bottom style="thin">
        <color rgb="FF9BC2E6"/>
      </bottom>
      <diagonal/>
    </border>
  </borders>
  <cellStyleXfs count="1">
    <xf numFmtId="0" fontId="0" fillId="0" borderId="0"/>
  </cellStyleXfs>
  <cellXfs count="21"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center" vertical="top"/>
    </xf>
    <xf numFmtId="0" fontId="0" fillId="2" borderId="1" xfId="0" applyFill="1" applyBorder="1" applyAlignment="1">
      <alignment horizontal="left"/>
    </xf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left" vertical="top"/>
    </xf>
    <xf numFmtId="0" fontId="3" fillId="0" borderId="2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3" fillId="0" borderId="2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center" vertical="top"/>
    </xf>
    <xf numFmtId="0" fontId="3" fillId="0" borderId="2" xfId="0" applyFont="1" applyBorder="1" applyAlignment="1">
      <alignment horizontal="center" vertical="top" wrapText="1"/>
    </xf>
    <xf numFmtId="0" fontId="0" fillId="0" borderId="0" xfId="0" pivotButton="1" applyAlignment="1">
      <alignment horizontal="left"/>
    </xf>
    <xf numFmtId="0" fontId="5" fillId="3" borderId="3" xfId="0" applyFont="1" applyFill="1" applyBorder="1"/>
    <xf numFmtId="0" fontId="0" fillId="0" borderId="0" xfId="0" applyNumberFormat="1" applyAlignment="1">
      <alignment horizontal="left"/>
    </xf>
    <xf numFmtId="0" fontId="6" fillId="4" borderId="4" xfId="0" applyFont="1" applyFill="1" applyBorder="1" applyAlignment="1">
      <alignment horizontal="left"/>
    </xf>
    <xf numFmtId="0" fontId="5" fillId="3" borderId="3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ciano Cataldo" refreshedDate="45991.755583449078" createdVersion="8" refreshedVersion="8" minRefreshableVersion="3" recordCount="98" xr:uid="{FB13CFC0-5B14-BA4A-A5FB-BE7726340D6C}">
  <cacheSource type="worksheet">
    <worksheetSource ref="A1:F99" sheet="presencia_largo"/>
  </cacheSource>
  <cacheFields count="6">
    <cacheField name="Entrevista" numFmtId="0">
      <sharedItems/>
    </cacheField>
    <cacheField name="Pregunta" numFmtId="0">
      <sharedItems containsSemiMixedTypes="0" containsString="0" containsNumber="1" containsInteger="1" minValue="1" maxValue="22"/>
    </cacheField>
    <cacheField name="Coder" numFmtId="0">
      <sharedItems count="2">
        <s v="J"/>
        <s v="P"/>
      </sharedItems>
    </cacheField>
    <cacheField name="Code_full" numFmtId="0">
      <sharedItems count="38">
        <s v="Tiposdefuente_Basededatosacadémicos"/>
        <s v="Altaconfiabilidad_Reputacióndelafuente"/>
        <s v="Altaconfiabilidad_Procedenciadelainfo"/>
        <s v="Tiposdefuente_Sitiosgubernamentales"/>
        <s v="Utilidaddefuentesespecializadas_Rectificaciónterminológica"/>
        <s v="Utilidaddefuentesespecializadas_Verificaciónterminológica"/>
        <s v="Percepcióndelproceso_Organizado"/>
        <s v="Organizacióndebúsquedadeinfo_Paralelo"/>
        <s v="Etapasdelprocesodedocumentación_Documentacióntemática"/>
        <s v="Organizacióndebúsquedadeinfo_Secuencial"/>
        <s v="Etapasdelprocesodedocumentación_Búsquedadetérminos"/>
        <s v="Etapasdelprocesodedocumentación_Identificarposiblesproblemas"/>
        <s v="Valoracióndeladocumentación_Positiva"/>
        <s v="Utilidaddefuentesespecializadas_Adecuaciónterminológica"/>
        <s v="Búsquedaprevia-inicial_Búsquedaterminológica"/>
        <s v="Búsquedaprevia-inicial_Búsquedatemática"/>
        <s v="Utilidaddefuentesespecializadas_Comprensióntextual"/>
        <s v="Tiposdefuente_Diccionariogeneral"/>
        <s v="Documentaciónterminológica_Revisióndelequivalente"/>
        <s v="Tiposdefuente_Glosarios"/>
        <s v="Tiposdefuente_Génerossimilares"/>
        <s v="Noregistro_Limitacióntemporal"/>
        <s v="Registrodeinformación_Elaboracióndeglosarios"/>
        <s v="Registro_Desconocimientodelainfo"/>
        <s v="Percepcióndelproceso_Desorganizado"/>
        <s v="Limitacionesdedocumentación_Temporal"/>
        <s v="Etapasdelprocesodedocumentación_Lecturapreviadeltexto"/>
        <s v="Bajaconfiabilidad_Elecciónintuitiva"/>
        <s v="Noregistro_Faltadehábito"/>
        <s v="Estrategiasdebúsquedadeinformación_Operadoresbooleanos"/>
        <s v="Utilidaddefuentesespecializadas_Comprensiónterminológica"/>
        <s v="Altaconfiabilidad_Comparaciónterminológica"/>
        <s v="Bajaconfiabilidad_Origendelainformación"/>
        <s v="Etapasdelprocesodedocumentación_Identificaciónoextraccióndetérminos"/>
        <s v="Búsquedaprevia-inicial_Sindocumentaciónprevia"/>
        <s v="Noregistro_Asimilacióninmediata"/>
        <s v="Limitacionesdedocumentación_Desorganizacióndelainformación"/>
        <s v="Altaconfiabilidad_Frecuenciadeuso"/>
      </sharedItems>
    </cacheField>
    <cacheField name="Presencia" numFmtId="0">
      <sharedItems containsSemiMixedTypes="0" containsString="0" containsNumber="1" containsInteger="1" minValue="1" maxValue="1"/>
    </cacheField>
    <cacheField name="Unidad" numFmtId="0">
      <sharedItems count="34">
        <s v="INE_Q1"/>
        <s v="INE_Q13"/>
        <s v="INE_Q14"/>
        <s v="INE_Q17"/>
        <s v="INE_Q18"/>
        <s v="INE_Q19"/>
        <s v="INE_Q20"/>
        <s v="INE_Q21"/>
        <s v="INE_Q22"/>
        <s v="INE_Q2"/>
        <s v="INE_Q3"/>
        <s v="INE_Q5"/>
        <s v="INE_Q6"/>
        <s v="INE_Q7"/>
        <s v="INE_Q9"/>
        <s v="INE_Q10"/>
        <s v="INE_Q11"/>
        <s v="VE_Q20"/>
        <s v="VE_Q18"/>
        <s v="VE_Q17"/>
        <s v="VE_Q16"/>
        <s v="VE_Q14"/>
        <s v="VE_Q13"/>
        <s v="VE_Q1"/>
        <s v="VE_Q9"/>
        <s v="VE_Q7"/>
        <s v="VE_Q3"/>
        <s v="VE_Q4"/>
        <s v="VE_Q6"/>
        <s v="INE_Q15"/>
        <s v="VE_Q8"/>
        <s v="VE_Q10"/>
        <s v="VE_Q11"/>
        <s v="VE_Q19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">
  <r>
    <s v="INE"/>
    <n v="1"/>
    <x v="0"/>
    <x v="0"/>
    <n v="1"/>
    <x v="0"/>
  </r>
  <r>
    <s v="INE"/>
    <n v="1"/>
    <x v="0"/>
    <x v="1"/>
    <n v="1"/>
    <x v="0"/>
  </r>
  <r>
    <s v="INE"/>
    <n v="1"/>
    <x v="0"/>
    <x v="2"/>
    <n v="1"/>
    <x v="0"/>
  </r>
  <r>
    <s v="INE"/>
    <n v="13"/>
    <x v="0"/>
    <x v="3"/>
    <n v="1"/>
    <x v="1"/>
  </r>
  <r>
    <s v="INE"/>
    <n v="14"/>
    <x v="0"/>
    <x v="1"/>
    <n v="1"/>
    <x v="2"/>
  </r>
  <r>
    <s v="INE"/>
    <n v="17"/>
    <x v="0"/>
    <x v="4"/>
    <n v="1"/>
    <x v="3"/>
  </r>
  <r>
    <s v="INE"/>
    <n v="18"/>
    <x v="0"/>
    <x v="5"/>
    <n v="1"/>
    <x v="4"/>
  </r>
  <r>
    <s v="INE"/>
    <n v="19"/>
    <x v="0"/>
    <x v="6"/>
    <n v="1"/>
    <x v="5"/>
  </r>
  <r>
    <s v="INE"/>
    <n v="19"/>
    <x v="0"/>
    <x v="7"/>
    <n v="1"/>
    <x v="5"/>
  </r>
  <r>
    <s v="INE"/>
    <n v="20"/>
    <x v="0"/>
    <x v="8"/>
    <n v="1"/>
    <x v="6"/>
  </r>
  <r>
    <s v="INE"/>
    <n v="20"/>
    <x v="0"/>
    <x v="9"/>
    <n v="1"/>
    <x v="6"/>
  </r>
  <r>
    <s v="INE"/>
    <n v="20"/>
    <x v="0"/>
    <x v="10"/>
    <n v="1"/>
    <x v="6"/>
  </r>
  <r>
    <s v="INE"/>
    <n v="20"/>
    <x v="0"/>
    <x v="11"/>
    <n v="1"/>
    <x v="6"/>
  </r>
  <r>
    <s v="INE"/>
    <n v="21"/>
    <x v="0"/>
    <x v="12"/>
    <n v="1"/>
    <x v="7"/>
  </r>
  <r>
    <s v="INE"/>
    <n v="22"/>
    <x v="0"/>
    <x v="13"/>
    <n v="1"/>
    <x v="8"/>
  </r>
  <r>
    <s v="INE"/>
    <n v="1"/>
    <x v="0"/>
    <x v="14"/>
    <n v="1"/>
    <x v="0"/>
  </r>
  <r>
    <s v="INE"/>
    <n v="1"/>
    <x v="0"/>
    <x v="15"/>
    <n v="1"/>
    <x v="0"/>
  </r>
  <r>
    <s v="INE"/>
    <n v="2"/>
    <x v="0"/>
    <x v="16"/>
    <n v="1"/>
    <x v="9"/>
  </r>
  <r>
    <s v="INE"/>
    <n v="3"/>
    <x v="0"/>
    <x v="17"/>
    <n v="1"/>
    <x v="10"/>
  </r>
  <r>
    <s v="INE"/>
    <n v="3"/>
    <x v="0"/>
    <x v="14"/>
    <n v="1"/>
    <x v="10"/>
  </r>
  <r>
    <s v="INE"/>
    <n v="3"/>
    <x v="0"/>
    <x v="18"/>
    <n v="1"/>
    <x v="10"/>
  </r>
  <r>
    <s v="INE"/>
    <n v="5"/>
    <x v="0"/>
    <x v="19"/>
    <n v="1"/>
    <x v="11"/>
  </r>
  <r>
    <s v="INE"/>
    <n v="5"/>
    <x v="0"/>
    <x v="20"/>
    <n v="1"/>
    <x v="11"/>
  </r>
  <r>
    <s v="INE"/>
    <n v="6"/>
    <x v="0"/>
    <x v="0"/>
    <n v="1"/>
    <x v="12"/>
  </r>
  <r>
    <s v="INE"/>
    <n v="7"/>
    <x v="0"/>
    <x v="16"/>
    <n v="1"/>
    <x v="13"/>
  </r>
  <r>
    <s v="INE"/>
    <n v="7"/>
    <x v="0"/>
    <x v="20"/>
    <n v="1"/>
    <x v="13"/>
  </r>
  <r>
    <s v="INE"/>
    <n v="9"/>
    <x v="0"/>
    <x v="21"/>
    <n v="1"/>
    <x v="14"/>
  </r>
  <r>
    <s v="INE"/>
    <n v="10"/>
    <x v="0"/>
    <x v="22"/>
    <n v="1"/>
    <x v="15"/>
  </r>
  <r>
    <s v="INE"/>
    <n v="10"/>
    <x v="0"/>
    <x v="23"/>
    <n v="1"/>
    <x v="15"/>
  </r>
  <r>
    <s v="INE"/>
    <n v="11"/>
    <x v="0"/>
    <x v="22"/>
    <n v="1"/>
    <x v="16"/>
  </r>
  <r>
    <s v="VE"/>
    <n v="20"/>
    <x v="0"/>
    <x v="5"/>
    <n v="1"/>
    <x v="17"/>
  </r>
  <r>
    <s v="VE"/>
    <n v="18"/>
    <x v="0"/>
    <x v="24"/>
    <n v="1"/>
    <x v="18"/>
  </r>
  <r>
    <s v="VE"/>
    <n v="17"/>
    <x v="0"/>
    <x v="25"/>
    <n v="1"/>
    <x v="19"/>
  </r>
  <r>
    <s v="VE"/>
    <n v="16"/>
    <x v="0"/>
    <x v="7"/>
    <n v="1"/>
    <x v="20"/>
  </r>
  <r>
    <s v="VE"/>
    <n v="16"/>
    <x v="0"/>
    <x v="10"/>
    <n v="1"/>
    <x v="20"/>
  </r>
  <r>
    <s v="VE"/>
    <n v="16"/>
    <x v="0"/>
    <x v="11"/>
    <n v="1"/>
    <x v="20"/>
  </r>
  <r>
    <s v="VE"/>
    <n v="16"/>
    <x v="0"/>
    <x v="26"/>
    <n v="1"/>
    <x v="20"/>
  </r>
  <r>
    <s v="VE"/>
    <n v="16"/>
    <x v="0"/>
    <x v="9"/>
    <n v="1"/>
    <x v="20"/>
  </r>
  <r>
    <s v="VE"/>
    <n v="16"/>
    <x v="0"/>
    <x v="24"/>
    <n v="1"/>
    <x v="20"/>
  </r>
  <r>
    <s v="VE"/>
    <n v="14"/>
    <x v="0"/>
    <x v="25"/>
    <n v="1"/>
    <x v="21"/>
  </r>
  <r>
    <s v="VE"/>
    <n v="13"/>
    <x v="0"/>
    <x v="27"/>
    <n v="1"/>
    <x v="22"/>
  </r>
  <r>
    <s v="VE"/>
    <n v="1"/>
    <x v="0"/>
    <x v="25"/>
    <n v="1"/>
    <x v="23"/>
  </r>
  <r>
    <s v="VE"/>
    <n v="9"/>
    <x v="0"/>
    <x v="28"/>
    <n v="1"/>
    <x v="24"/>
  </r>
  <r>
    <s v="VE"/>
    <n v="7"/>
    <x v="0"/>
    <x v="28"/>
    <n v="1"/>
    <x v="25"/>
  </r>
  <r>
    <s v="VE"/>
    <n v="1"/>
    <x v="0"/>
    <x v="26"/>
    <n v="1"/>
    <x v="23"/>
  </r>
  <r>
    <s v="VE"/>
    <n v="1"/>
    <x v="0"/>
    <x v="10"/>
    <n v="1"/>
    <x v="23"/>
  </r>
  <r>
    <s v="VE"/>
    <n v="1"/>
    <x v="0"/>
    <x v="11"/>
    <n v="1"/>
    <x v="23"/>
  </r>
  <r>
    <s v="VE"/>
    <n v="1"/>
    <x v="0"/>
    <x v="14"/>
    <n v="1"/>
    <x v="23"/>
  </r>
  <r>
    <s v="VE"/>
    <n v="3"/>
    <x v="0"/>
    <x v="19"/>
    <n v="1"/>
    <x v="26"/>
  </r>
  <r>
    <s v="VE"/>
    <n v="4"/>
    <x v="0"/>
    <x v="29"/>
    <n v="1"/>
    <x v="27"/>
  </r>
  <r>
    <s v="VE"/>
    <n v="6"/>
    <x v="0"/>
    <x v="20"/>
    <n v="1"/>
    <x v="28"/>
  </r>
  <r>
    <s v="VE"/>
    <n v="6"/>
    <x v="0"/>
    <x v="30"/>
    <n v="1"/>
    <x v="28"/>
  </r>
  <r>
    <s v="INE"/>
    <n v="10"/>
    <x v="1"/>
    <x v="23"/>
    <n v="1"/>
    <x v="15"/>
  </r>
  <r>
    <s v="INE"/>
    <n v="10"/>
    <x v="1"/>
    <x v="22"/>
    <n v="1"/>
    <x v="15"/>
  </r>
  <r>
    <s v="INE"/>
    <n v="13"/>
    <x v="1"/>
    <x v="22"/>
    <n v="1"/>
    <x v="1"/>
  </r>
  <r>
    <s v="INE"/>
    <n v="13"/>
    <x v="1"/>
    <x v="2"/>
    <n v="1"/>
    <x v="1"/>
  </r>
  <r>
    <s v="INE"/>
    <n v="13"/>
    <x v="1"/>
    <x v="3"/>
    <n v="1"/>
    <x v="1"/>
  </r>
  <r>
    <s v="INE"/>
    <n v="14"/>
    <x v="1"/>
    <x v="31"/>
    <n v="1"/>
    <x v="2"/>
  </r>
  <r>
    <s v="INE"/>
    <n v="5"/>
    <x v="1"/>
    <x v="20"/>
    <n v="1"/>
    <x v="11"/>
  </r>
  <r>
    <s v="INE"/>
    <n v="6"/>
    <x v="1"/>
    <x v="0"/>
    <n v="1"/>
    <x v="12"/>
  </r>
  <r>
    <s v="INE"/>
    <n v="7"/>
    <x v="1"/>
    <x v="20"/>
    <n v="1"/>
    <x v="13"/>
  </r>
  <r>
    <s v="INE"/>
    <n v="9"/>
    <x v="1"/>
    <x v="21"/>
    <n v="1"/>
    <x v="14"/>
  </r>
  <r>
    <s v="INE"/>
    <n v="5"/>
    <x v="1"/>
    <x v="19"/>
    <n v="1"/>
    <x v="11"/>
  </r>
  <r>
    <s v="INE"/>
    <n v="3"/>
    <x v="1"/>
    <x v="18"/>
    <n v="1"/>
    <x v="10"/>
  </r>
  <r>
    <s v="INE"/>
    <n v="3"/>
    <x v="1"/>
    <x v="17"/>
    <n v="1"/>
    <x v="10"/>
  </r>
  <r>
    <s v="INE"/>
    <n v="3"/>
    <x v="1"/>
    <x v="14"/>
    <n v="1"/>
    <x v="10"/>
  </r>
  <r>
    <s v="INE"/>
    <n v="1"/>
    <x v="1"/>
    <x v="15"/>
    <n v="1"/>
    <x v="0"/>
  </r>
  <r>
    <s v="INE"/>
    <n v="1"/>
    <x v="1"/>
    <x v="14"/>
    <n v="1"/>
    <x v="0"/>
  </r>
  <r>
    <s v="INE"/>
    <n v="15"/>
    <x v="1"/>
    <x v="32"/>
    <n v="1"/>
    <x v="29"/>
  </r>
  <r>
    <s v="INE"/>
    <n v="17"/>
    <x v="1"/>
    <x v="4"/>
    <n v="1"/>
    <x v="3"/>
  </r>
  <r>
    <s v="INE"/>
    <n v="18"/>
    <x v="1"/>
    <x v="20"/>
    <n v="1"/>
    <x v="4"/>
  </r>
  <r>
    <s v="INE"/>
    <n v="18"/>
    <x v="1"/>
    <x v="5"/>
    <n v="1"/>
    <x v="4"/>
  </r>
  <r>
    <s v="INE"/>
    <n v="19"/>
    <x v="1"/>
    <x v="7"/>
    <n v="1"/>
    <x v="5"/>
  </r>
  <r>
    <s v="INE"/>
    <n v="19"/>
    <x v="1"/>
    <x v="14"/>
    <n v="1"/>
    <x v="5"/>
  </r>
  <r>
    <s v="INE"/>
    <n v="20"/>
    <x v="1"/>
    <x v="9"/>
    <n v="1"/>
    <x v="6"/>
  </r>
  <r>
    <s v="INE"/>
    <n v="20"/>
    <x v="1"/>
    <x v="26"/>
    <n v="1"/>
    <x v="6"/>
  </r>
  <r>
    <s v="INE"/>
    <n v="20"/>
    <x v="1"/>
    <x v="33"/>
    <n v="1"/>
    <x v="6"/>
  </r>
  <r>
    <s v="INE"/>
    <n v="20"/>
    <x v="1"/>
    <x v="8"/>
    <n v="1"/>
    <x v="6"/>
  </r>
  <r>
    <s v="INE"/>
    <n v="21"/>
    <x v="1"/>
    <x v="12"/>
    <n v="1"/>
    <x v="7"/>
  </r>
  <r>
    <s v="VE"/>
    <n v="6"/>
    <x v="1"/>
    <x v="30"/>
    <n v="1"/>
    <x v="28"/>
  </r>
  <r>
    <s v="VE"/>
    <n v="6"/>
    <x v="1"/>
    <x v="20"/>
    <n v="1"/>
    <x v="28"/>
  </r>
  <r>
    <s v="VE"/>
    <n v="4"/>
    <x v="1"/>
    <x v="29"/>
    <n v="1"/>
    <x v="27"/>
  </r>
  <r>
    <s v="VE"/>
    <n v="3"/>
    <x v="1"/>
    <x v="19"/>
    <n v="1"/>
    <x v="26"/>
  </r>
  <r>
    <s v="VE"/>
    <n v="1"/>
    <x v="1"/>
    <x v="26"/>
    <n v="1"/>
    <x v="23"/>
  </r>
  <r>
    <s v="VE"/>
    <n v="1"/>
    <x v="1"/>
    <x v="25"/>
    <n v="1"/>
    <x v="23"/>
  </r>
  <r>
    <s v="VE"/>
    <n v="1"/>
    <x v="1"/>
    <x v="34"/>
    <n v="1"/>
    <x v="23"/>
  </r>
  <r>
    <s v="VE"/>
    <n v="7"/>
    <x v="1"/>
    <x v="35"/>
    <n v="1"/>
    <x v="25"/>
  </r>
  <r>
    <s v="VE"/>
    <n v="8"/>
    <x v="1"/>
    <x v="36"/>
    <n v="1"/>
    <x v="30"/>
  </r>
  <r>
    <s v="VE"/>
    <n v="9"/>
    <x v="1"/>
    <x v="28"/>
    <n v="1"/>
    <x v="24"/>
  </r>
  <r>
    <s v="VE"/>
    <n v="10"/>
    <x v="1"/>
    <x v="25"/>
    <n v="1"/>
    <x v="31"/>
  </r>
  <r>
    <s v="VE"/>
    <n v="11"/>
    <x v="1"/>
    <x v="37"/>
    <n v="1"/>
    <x v="32"/>
  </r>
  <r>
    <s v="VE"/>
    <n v="13"/>
    <x v="1"/>
    <x v="27"/>
    <n v="1"/>
    <x v="22"/>
  </r>
  <r>
    <s v="VE"/>
    <n v="14"/>
    <x v="1"/>
    <x v="25"/>
    <n v="1"/>
    <x v="21"/>
  </r>
  <r>
    <s v="VE"/>
    <n v="16"/>
    <x v="1"/>
    <x v="9"/>
    <n v="1"/>
    <x v="20"/>
  </r>
  <r>
    <s v="VE"/>
    <n v="17"/>
    <x v="1"/>
    <x v="36"/>
    <n v="1"/>
    <x v="19"/>
  </r>
  <r>
    <s v="VE"/>
    <n v="18"/>
    <x v="1"/>
    <x v="28"/>
    <n v="1"/>
    <x v="18"/>
  </r>
  <r>
    <s v="VE"/>
    <n v="19"/>
    <x v="1"/>
    <x v="12"/>
    <n v="1"/>
    <x v="33"/>
  </r>
  <r>
    <s v="VE"/>
    <n v="20"/>
    <x v="1"/>
    <x v="5"/>
    <n v="1"/>
    <x v="1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AEA99C-7F63-ED48-A205-CF5BA0F7981A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G36" firstHeaderRow="1" firstDataRow="2" firstDataCol="1" rowPageCount="1" colPageCount="1"/>
  <pivotFields count="6">
    <pivotField showAll="0"/>
    <pivotField showAll="0"/>
    <pivotField axis="axisPage" multipleItemSelectionAllowed="1" showAll="0">
      <items count="3">
        <item h="1" x="0"/>
        <item x="1"/>
        <item t="default"/>
      </items>
    </pivotField>
    <pivotField axis="axisCol" showAll="0">
      <items count="39">
        <item x="31"/>
        <item x="37"/>
        <item x="2"/>
        <item x="1"/>
        <item x="27"/>
        <item x="32"/>
        <item x="15"/>
        <item x="14"/>
        <item x="34"/>
        <item x="18"/>
        <item x="29"/>
        <item x="10"/>
        <item x="8"/>
        <item x="33"/>
        <item x="11"/>
        <item x="26"/>
        <item x="36"/>
        <item x="25"/>
        <item x="35"/>
        <item x="28"/>
        <item x="21"/>
        <item x="7"/>
        <item x="9"/>
        <item x="24"/>
        <item x="6"/>
        <item x="23"/>
        <item x="22"/>
        <item x="0"/>
        <item x="17"/>
        <item x="20"/>
        <item x="19"/>
        <item x="3"/>
        <item x="13"/>
        <item x="30"/>
        <item x="16"/>
        <item x="4"/>
        <item x="5"/>
        <item x="12"/>
        <item t="default"/>
      </items>
    </pivotField>
    <pivotField dataField="1" showAll="0"/>
    <pivotField axis="axisRow" showAll="0">
      <items count="35">
        <item x="0"/>
        <item x="15"/>
        <item x="16"/>
        <item x="1"/>
        <item x="2"/>
        <item x="29"/>
        <item x="3"/>
        <item x="4"/>
        <item x="5"/>
        <item x="9"/>
        <item x="6"/>
        <item x="7"/>
        <item x="8"/>
        <item x="10"/>
        <item x="11"/>
        <item x="12"/>
        <item x="13"/>
        <item x="14"/>
        <item x="23"/>
        <item x="31"/>
        <item x="32"/>
        <item x="22"/>
        <item x="21"/>
        <item x="20"/>
        <item x="19"/>
        <item x="18"/>
        <item x="33"/>
        <item x="17"/>
        <item x="26"/>
        <item x="27"/>
        <item x="28"/>
        <item x="25"/>
        <item x="30"/>
        <item x="24"/>
        <item t="default"/>
      </items>
    </pivotField>
  </pivotFields>
  <rowFields count="1">
    <field x="5"/>
  </rowFields>
  <rowItems count="32">
    <i>
      <x/>
    </i>
    <i>
      <x v="1"/>
    </i>
    <i>
      <x v="3"/>
    </i>
    <i>
      <x v="4"/>
    </i>
    <i>
      <x v="5"/>
    </i>
    <i>
      <x v="6"/>
    </i>
    <i>
      <x v="7"/>
    </i>
    <i>
      <x v="8"/>
    </i>
    <i>
      <x v="10"/>
    </i>
    <i>
      <x v="11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 t="grand">
      <x/>
    </i>
  </rowItems>
  <colFields count="1">
    <field x="3"/>
  </colFields>
  <colItems count="32">
    <i>
      <x/>
    </i>
    <i>
      <x v="1"/>
    </i>
    <i>
      <x v="2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3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5"/>
    </i>
    <i>
      <x v="26"/>
    </i>
    <i>
      <x v="27"/>
    </i>
    <i>
      <x v="28"/>
    </i>
    <i>
      <x v="29"/>
    </i>
    <i>
      <x v="30"/>
    </i>
    <i>
      <x v="31"/>
    </i>
    <i>
      <x v="33"/>
    </i>
    <i>
      <x v="35"/>
    </i>
    <i>
      <x v="36"/>
    </i>
    <i>
      <x v="37"/>
    </i>
    <i t="grand">
      <x/>
    </i>
  </colItems>
  <pageFields count="1">
    <pageField fld="2" hier="-1"/>
  </pageFields>
  <dataFields count="1">
    <dataField name="Sum of Presencia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6"/>
  <sheetViews>
    <sheetView topLeftCell="A20" zoomScale="125" workbookViewId="0">
      <selection activeCell="C34" sqref="C34"/>
    </sheetView>
  </sheetViews>
  <sheetFormatPr baseColWidth="10" defaultColWidth="8.83203125" defaultRowHeight="15" x14ac:dyDescent="0.2"/>
  <cols>
    <col min="1" max="1" width="28"/>
    <col min="2" max="2" width="27"/>
    <col min="3" max="3" width="61"/>
    <col min="4" max="4" width="6"/>
    <col min="5" max="5" width="9"/>
    <col min="6" max="6" width="7"/>
    <col min="7" max="7" width="9"/>
    <col min="8" max="8" width="6"/>
    <col min="9" max="9" width="22"/>
  </cols>
  <sheetData>
    <row r="1" spans="1:9" ht="13" customHeight="1" x14ac:dyDescent="0.2">
      <c r="A1" s="1" t="s">
        <v>5</v>
      </c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  <c r="H1" s="2" t="s">
        <v>12</v>
      </c>
      <c r="I1" s="3" t="s">
        <v>13</v>
      </c>
    </row>
    <row r="2" spans="1:9" ht="13" customHeight="1" x14ac:dyDescent="0.2">
      <c r="A2" s="4" t="s">
        <v>14</v>
      </c>
      <c r="B2" s="4" t="s">
        <v>15</v>
      </c>
      <c r="C2" s="4" t="s">
        <v>16</v>
      </c>
      <c r="D2" s="5" t="s">
        <v>17</v>
      </c>
      <c r="E2" s="5" t="s">
        <v>18</v>
      </c>
      <c r="F2" s="5">
        <v>11</v>
      </c>
      <c r="G2" s="5" t="s">
        <v>19</v>
      </c>
      <c r="H2" s="6" t="s">
        <v>20</v>
      </c>
      <c r="I2" s="5" t="s">
        <v>21</v>
      </c>
    </row>
    <row r="3" spans="1:9" ht="19" customHeight="1" x14ac:dyDescent="0.2">
      <c r="A3" s="4" t="s">
        <v>22</v>
      </c>
      <c r="B3" s="4" t="s">
        <v>23</v>
      </c>
      <c r="C3" s="7" t="s">
        <v>24</v>
      </c>
      <c r="D3" s="5" t="s">
        <v>25</v>
      </c>
      <c r="E3" s="5" t="s">
        <v>26</v>
      </c>
      <c r="F3" s="5">
        <v>16</v>
      </c>
      <c r="G3" s="5" t="s">
        <v>27</v>
      </c>
      <c r="H3" s="8" t="s">
        <v>28</v>
      </c>
      <c r="I3" s="9" t="s">
        <v>29</v>
      </c>
    </row>
    <row r="4" spans="1:9" ht="29" customHeight="1" x14ac:dyDescent="0.2">
      <c r="A4" s="4" t="s">
        <v>30</v>
      </c>
      <c r="B4" s="4" t="s">
        <v>31</v>
      </c>
      <c r="C4" s="7" t="s">
        <v>32</v>
      </c>
      <c r="D4" s="5" t="s">
        <v>33</v>
      </c>
      <c r="E4" s="5" t="s">
        <v>34</v>
      </c>
      <c r="F4" s="5">
        <v>31</v>
      </c>
      <c r="G4" s="5" t="s">
        <v>35</v>
      </c>
      <c r="H4" s="8" t="s">
        <v>36</v>
      </c>
      <c r="I4" s="9" t="s">
        <v>37</v>
      </c>
    </row>
    <row r="5" spans="1:9" ht="13" customHeight="1" x14ac:dyDescent="0.2">
      <c r="A5" s="4" t="s">
        <v>38</v>
      </c>
      <c r="B5" s="4" t="s">
        <v>39</v>
      </c>
      <c r="C5" s="4" t="s">
        <v>40</v>
      </c>
      <c r="D5" s="5" t="s">
        <v>41</v>
      </c>
      <c r="E5" s="5" t="s">
        <v>42</v>
      </c>
      <c r="F5" s="5">
        <v>14</v>
      </c>
      <c r="G5" s="5" t="s">
        <v>43</v>
      </c>
      <c r="H5" s="6" t="s">
        <v>44</v>
      </c>
      <c r="I5" s="5" t="s">
        <v>45</v>
      </c>
    </row>
    <row r="6" spans="1:9" ht="19" customHeight="1" x14ac:dyDescent="0.2">
      <c r="A6" s="4" t="s">
        <v>46</v>
      </c>
      <c r="B6" s="4" t="s">
        <v>47</v>
      </c>
      <c r="C6" s="7" t="s">
        <v>48</v>
      </c>
      <c r="D6" s="5" t="s">
        <v>49</v>
      </c>
      <c r="E6" s="5" t="s">
        <v>50</v>
      </c>
      <c r="F6" s="5">
        <v>25</v>
      </c>
      <c r="G6" s="5" t="s">
        <v>51</v>
      </c>
      <c r="H6" s="8" t="s">
        <v>52</v>
      </c>
      <c r="I6" s="9" t="s">
        <v>53</v>
      </c>
    </row>
    <row r="7" spans="1:9" ht="19" customHeight="1" x14ac:dyDescent="0.2">
      <c r="A7" s="4" t="s">
        <v>54</v>
      </c>
      <c r="B7" s="4" t="s">
        <v>55</v>
      </c>
      <c r="C7" s="7" t="s">
        <v>56</v>
      </c>
      <c r="D7" s="5" t="s">
        <v>57</v>
      </c>
      <c r="E7" s="5" t="s">
        <v>58</v>
      </c>
      <c r="F7" s="5">
        <v>18</v>
      </c>
      <c r="G7" s="5" t="s">
        <v>59</v>
      </c>
      <c r="H7" s="8" t="s">
        <v>60</v>
      </c>
      <c r="I7" s="9" t="s">
        <v>61</v>
      </c>
    </row>
    <row r="8" spans="1:9" ht="19" customHeight="1" x14ac:dyDescent="0.2">
      <c r="A8" s="4" t="s">
        <v>62</v>
      </c>
      <c r="B8" s="4" t="s">
        <v>63</v>
      </c>
      <c r="C8" s="7" t="s">
        <v>64</v>
      </c>
      <c r="D8" s="5" t="s">
        <v>65</v>
      </c>
      <c r="E8" s="5" t="s">
        <v>66</v>
      </c>
      <c r="F8" s="5">
        <v>21</v>
      </c>
      <c r="G8" s="5" t="s">
        <v>67</v>
      </c>
      <c r="H8" s="8" t="s">
        <v>68</v>
      </c>
      <c r="I8" s="9" t="s">
        <v>69</v>
      </c>
    </row>
    <row r="9" spans="1:9" ht="29" customHeight="1" x14ac:dyDescent="0.2">
      <c r="A9" s="4" t="s">
        <v>70</v>
      </c>
      <c r="B9" s="4" t="s">
        <v>71</v>
      </c>
      <c r="C9" s="7" t="s">
        <v>72</v>
      </c>
      <c r="D9" s="5" t="s">
        <v>73</v>
      </c>
      <c r="E9" s="5" t="s">
        <v>74</v>
      </c>
      <c r="F9" s="5">
        <v>39</v>
      </c>
      <c r="G9" s="5" t="s">
        <v>75</v>
      </c>
      <c r="H9" s="8" t="s">
        <v>76</v>
      </c>
      <c r="I9" s="9" t="s">
        <v>77</v>
      </c>
    </row>
    <row r="10" spans="1:9" ht="19" customHeight="1" x14ac:dyDescent="0.2">
      <c r="A10" s="4" t="s">
        <v>78</v>
      </c>
      <c r="B10" s="4" t="s">
        <v>79</v>
      </c>
      <c r="C10" s="7" t="s">
        <v>80</v>
      </c>
      <c r="D10" s="5" t="s">
        <v>81</v>
      </c>
      <c r="E10" s="5" t="s">
        <v>82</v>
      </c>
      <c r="F10" s="5">
        <v>23</v>
      </c>
      <c r="G10" s="5" t="s">
        <v>83</v>
      </c>
      <c r="H10" s="8" t="s">
        <v>84</v>
      </c>
      <c r="I10" s="9" t="s">
        <v>85</v>
      </c>
    </row>
    <row r="11" spans="1:9" ht="13" customHeight="1" x14ac:dyDescent="0.2">
      <c r="A11" s="4" t="s">
        <v>86</v>
      </c>
      <c r="B11" s="4" t="s">
        <v>87</v>
      </c>
      <c r="C11" s="4" t="s">
        <v>88</v>
      </c>
      <c r="D11" s="5" t="s">
        <v>89</v>
      </c>
      <c r="E11" s="5" t="s">
        <v>90</v>
      </c>
      <c r="F11" s="5">
        <v>20</v>
      </c>
      <c r="G11" s="5" t="s">
        <v>91</v>
      </c>
      <c r="H11" s="6" t="s">
        <v>92</v>
      </c>
      <c r="I11" s="5" t="s">
        <v>93</v>
      </c>
    </row>
    <row r="12" spans="1:9" ht="19" customHeight="1" x14ac:dyDescent="0.2">
      <c r="A12" s="4" t="s">
        <v>94</v>
      </c>
      <c r="B12" s="4" t="s">
        <v>95</v>
      </c>
      <c r="C12" s="7" t="s">
        <v>96</v>
      </c>
      <c r="D12" s="5" t="s">
        <v>97</v>
      </c>
      <c r="E12" s="5" t="s">
        <v>98</v>
      </c>
      <c r="F12" s="5">
        <v>34</v>
      </c>
      <c r="G12" s="5" t="s">
        <v>99</v>
      </c>
      <c r="H12" s="8" t="s">
        <v>100</v>
      </c>
      <c r="I12" s="9" t="s">
        <v>101</v>
      </c>
    </row>
    <row r="13" spans="1:9" ht="19" customHeight="1" x14ac:dyDescent="0.2">
      <c r="A13" s="4" t="s">
        <v>102</v>
      </c>
      <c r="B13" s="4" t="s">
        <v>103</v>
      </c>
      <c r="C13" s="7" t="s">
        <v>104</v>
      </c>
      <c r="D13" s="5" t="s">
        <v>105</v>
      </c>
      <c r="E13" s="5" t="s">
        <v>106</v>
      </c>
      <c r="F13" s="5">
        <v>26</v>
      </c>
      <c r="G13" s="5" t="s">
        <v>107</v>
      </c>
      <c r="H13" s="8" t="s">
        <v>108</v>
      </c>
      <c r="I13" s="9" t="s">
        <v>109</v>
      </c>
    </row>
    <row r="14" spans="1:9" ht="13" customHeight="1" x14ac:dyDescent="0.2">
      <c r="A14" s="4" t="s">
        <v>110</v>
      </c>
      <c r="B14" s="4" t="s">
        <v>111</v>
      </c>
      <c r="C14" s="4" t="s">
        <v>112</v>
      </c>
      <c r="D14" s="5" t="s">
        <v>113</v>
      </c>
      <c r="E14" s="5" t="s">
        <v>114</v>
      </c>
      <c r="F14" s="5">
        <v>15</v>
      </c>
      <c r="G14" s="5" t="s">
        <v>115</v>
      </c>
      <c r="H14" s="6" t="s">
        <v>116</v>
      </c>
      <c r="I14" s="5" t="s">
        <v>117</v>
      </c>
    </row>
    <row r="15" spans="1:9" ht="19" customHeight="1" x14ac:dyDescent="0.2">
      <c r="A15" s="4" t="s">
        <v>118</v>
      </c>
      <c r="B15" s="4" t="s">
        <v>119</v>
      </c>
      <c r="C15" s="7" t="s">
        <v>120</v>
      </c>
      <c r="D15" s="5" t="s">
        <v>121</v>
      </c>
      <c r="E15" s="5" t="s">
        <v>122</v>
      </c>
      <c r="F15" s="5">
        <v>27</v>
      </c>
      <c r="G15" s="5" t="s">
        <v>123</v>
      </c>
      <c r="H15" s="8" t="s">
        <v>124</v>
      </c>
      <c r="I15" s="9" t="s">
        <v>125</v>
      </c>
    </row>
    <row r="16" spans="1:9" ht="19" customHeight="1" x14ac:dyDescent="0.2">
      <c r="A16" s="4" t="s">
        <v>126</v>
      </c>
      <c r="B16" s="4" t="s">
        <v>127</v>
      </c>
      <c r="C16" s="7" t="s">
        <v>128</v>
      </c>
      <c r="D16" s="5" t="s">
        <v>129</v>
      </c>
      <c r="E16" s="5" t="s">
        <v>130</v>
      </c>
      <c r="F16" s="5">
        <v>24</v>
      </c>
      <c r="G16" s="5" t="s">
        <v>131</v>
      </c>
      <c r="H16" s="8" t="s">
        <v>132</v>
      </c>
      <c r="I16" s="9" t="s">
        <v>133</v>
      </c>
    </row>
    <row r="17" spans="1:9" ht="19" customHeight="1" x14ac:dyDescent="0.2">
      <c r="A17" s="4" t="s">
        <v>134</v>
      </c>
      <c r="B17" s="4" t="s">
        <v>135</v>
      </c>
      <c r="C17" s="7" t="s">
        <v>136</v>
      </c>
      <c r="D17" s="5" t="s">
        <v>137</v>
      </c>
      <c r="E17" s="5" t="s">
        <v>138</v>
      </c>
      <c r="F17" s="5">
        <v>20</v>
      </c>
      <c r="G17" s="5" t="s">
        <v>139</v>
      </c>
      <c r="H17" s="8" t="s">
        <v>140</v>
      </c>
      <c r="I17" s="9" t="s">
        <v>141</v>
      </c>
    </row>
    <row r="18" spans="1:9" ht="13" customHeight="1" x14ac:dyDescent="0.2">
      <c r="A18" s="4" t="s">
        <v>142</v>
      </c>
      <c r="B18" s="4" t="s">
        <v>143</v>
      </c>
      <c r="C18" s="4" t="s">
        <v>144</v>
      </c>
      <c r="D18" s="5" t="s">
        <v>145</v>
      </c>
      <c r="E18" s="5" t="s">
        <v>146</v>
      </c>
      <c r="F18" s="5">
        <v>11</v>
      </c>
      <c r="G18" s="5" t="s">
        <v>147</v>
      </c>
      <c r="H18" s="6" t="s">
        <v>148</v>
      </c>
      <c r="I18" s="5" t="s">
        <v>149</v>
      </c>
    </row>
    <row r="19" spans="1:9" ht="13" customHeight="1" x14ac:dyDescent="0.2">
      <c r="A19" s="4" t="s">
        <v>150</v>
      </c>
      <c r="B19" s="4" t="s">
        <v>151</v>
      </c>
      <c r="C19" s="4" t="s">
        <v>152</v>
      </c>
      <c r="D19" s="5" t="s">
        <v>153</v>
      </c>
      <c r="E19" s="5" t="s">
        <v>154</v>
      </c>
      <c r="F19" s="5">
        <v>13</v>
      </c>
      <c r="G19" s="5" t="s">
        <v>155</v>
      </c>
      <c r="H19" s="6" t="s">
        <v>156</v>
      </c>
      <c r="I19" s="5" t="s">
        <v>157</v>
      </c>
    </row>
    <row r="20" spans="1:9" ht="13" customHeight="1" x14ac:dyDescent="0.2">
      <c r="A20" s="4" t="s">
        <v>158</v>
      </c>
      <c r="B20" s="4" t="s">
        <v>159</v>
      </c>
      <c r="C20" s="4" t="s">
        <v>160</v>
      </c>
      <c r="D20" s="5" t="s">
        <v>161</v>
      </c>
      <c r="E20" s="5" t="s">
        <v>162</v>
      </c>
      <c r="F20" s="5">
        <v>13</v>
      </c>
      <c r="G20" s="5" t="s">
        <v>163</v>
      </c>
      <c r="H20" s="6" t="s">
        <v>164</v>
      </c>
      <c r="I20" s="5" t="s">
        <v>165</v>
      </c>
    </row>
    <row r="21" spans="1:9" ht="13" customHeight="1" x14ac:dyDescent="0.2">
      <c r="A21" s="4" t="s">
        <v>166</v>
      </c>
      <c r="B21" s="4" t="s">
        <v>167</v>
      </c>
      <c r="C21" s="4" t="s">
        <v>168</v>
      </c>
      <c r="D21" s="5" t="s">
        <v>169</v>
      </c>
      <c r="E21" s="5" t="s">
        <v>170</v>
      </c>
      <c r="F21" s="5">
        <v>12</v>
      </c>
      <c r="G21" s="5" t="s">
        <v>171</v>
      </c>
      <c r="H21" s="6" t="s">
        <v>172</v>
      </c>
      <c r="I21" s="5" t="s">
        <v>173</v>
      </c>
    </row>
    <row r="22" spans="1:9" ht="19" customHeight="1" x14ac:dyDescent="0.2">
      <c r="A22" s="4" t="s">
        <v>174</v>
      </c>
      <c r="B22" s="4" t="s">
        <v>175</v>
      </c>
      <c r="C22" s="7" t="s">
        <v>176</v>
      </c>
      <c r="D22" s="5" t="s">
        <v>177</v>
      </c>
      <c r="E22" s="5" t="s">
        <v>178</v>
      </c>
      <c r="F22" s="5">
        <v>23</v>
      </c>
      <c r="G22" s="5" t="s">
        <v>179</v>
      </c>
      <c r="H22" s="8" t="s">
        <v>180</v>
      </c>
      <c r="I22" s="9" t="s">
        <v>181</v>
      </c>
    </row>
    <row r="23" spans="1:9" ht="13" customHeight="1" x14ac:dyDescent="0.2">
      <c r="A23" s="4" t="s">
        <v>182</v>
      </c>
      <c r="B23" s="4" t="s">
        <v>183</v>
      </c>
      <c r="C23" s="4" t="s">
        <v>184</v>
      </c>
      <c r="D23" s="5" t="s">
        <v>185</v>
      </c>
      <c r="E23" s="5" t="s">
        <v>186</v>
      </c>
      <c r="F23" s="5">
        <v>6</v>
      </c>
      <c r="G23" s="5" t="s">
        <v>187</v>
      </c>
      <c r="H23" s="6" t="s">
        <v>188</v>
      </c>
      <c r="I23" s="5" t="s">
        <v>189</v>
      </c>
    </row>
    <row r="24" spans="1:9" ht="13" customHeight="1" x14ac:dyDescent="0.2">
      <c r="A24" s="4" t="s">
        <v>190</v>
      </c>
      <c r="B24" s="4" t="s">
        <v>191</v>
      </c>
      <c r="C24" s="4" t="s">
        <v>192</v>
      </c>
      <c r="D24" s="5" t="s">
        <v>193</v>
      </c>
      <c r="E24" s="5" t="s">
        <v>194</v>
      </c>
      <c r="F24" s="5">
        <v>9</v>
      </c>
      <c r="G24" s="5" t="s">
        <v>195</v>
      </c>
      <c r="H24" s="6" t="s">
        <v>196</v>
      </c>
      <c r="I24" s="5" t="s">
        <v>197</v>
      </c>
    </row>
    <row r="25" spans="1:9" ht="13" customHeight="1" x14ac:dyDescent="0.2">
      <c r="A25" s="4" t="s">
        <v>198</v>
      </c>
      <c r="B25" s="4" t="s">
        <v>199</v>
      </c>
      <c r="C25" s="4" t="s">
        <v>200</v>
      </c>
      <c r="D25" s="5" t="s">
        <v>201</v>
      </c>
      <c r="E25" s="5" t="s">
        <v>202</v>
      </c>
      <c r="F25" s="5">
        <v>4</v>
      </c>
      <c r="G25" s="5" t="s">
        <v>203</v>
      </c>
      <c r="H25" s="6" t="s">
        <v>204</v>
      </c>
      <c r="I25" s="5" t="s">
        <v>205</v>
      </c>
    </row>
    <row r="26" spans="1:9" ht="13" customHeight="1" x14ac:dyDescent="0.2">
      <c r="A26" s="4" t="s">
        <v>206</v>
      </c>
      <c r="B26" s="4" t="s">
        <v>207</v>
      </c>
      <c r="C26" s="4" t="s">
        <v>208</v>
      </c>
      <c r="D26" s="5" t="s">
        <v>209</v>
      </c>
      <c r="E26" s="5" t="s">
        <v>210</v>
      </c>
      <c r="F26" s="5">
        <v>14</v>
      </c>
      <c r="G26" s="5" t="s">
        <v>211</v>
      </c>
      <c r="H26" s="6" t="s">
        <v>212</v>
      </c>
      <c r="I26" s="5" t="s">
        <v>213</v>
      </c>
    </row>
    <row r="27" spans="1:9" ht="13" customHeight="1" x14ac:dyDescent="0.2">
      <c r="A27" s="4" t="s">
        <v>214</v>
      </c>
      <c r="B27" s="4" t="s">
        <v>215</v>
      </c>
      <c r="C27" s="4" t="s">
        <v>216</v>
      </c>
      <c r="D27" s="5" t="s">
        <v>217</v>
      </c>
      <c r="E27" s="5" t="s">
        <v>218</v>
      </c>
      <c r="F27" s="5">
        <v>14</v>
      </c>
      <c r="G27" s="5" t="s">
        <v>219</v>
      </c>
      <c r="H27" s="6" t="s">
        <v>220</v>
      </c>
      <c r="I27" s="5" t="s">
        <v>221</v>
      </c>
    </row>
    <row r="28" spans="1:9" ht="19" customHeight="1" x14ac:dyDescent="0.2">
      <c r="A28" s="4" t="s">
        <v>222</v>
      </c>
      <c r="B28" s="4" t="s">
        <v>223</v>
      </c>
      <c r="C28" s="7" t="s">
        <v>224</v>
      </c>
      <c r="D28" s="5" t="s">
        <v>225</v>
      </c>
      <c r="E28" s="5" t="s">
        <v>226</v>
      </c>
      <c r="F28" s="5">
        <v>25</v>
      </c>
      <c r="G28" s="5" t="s">
        <v>227</v>
      </c>
      <c r="H28" s="8" t="s">
        <v>228</v>
      </c>
      <c r="I28" s="9" t="s">
        <v>229</v>
      </c>
    </row>
    <row r="29" spans="1:9" ht="13" customHeight="1" x14ac:dyDescent="0.2">
      <c r="A29" s="4" t="s">
        <v>230</v>
      </c>
      <c r="B29" s="4" t="s">
        <v>231</v>
      </c>
      <c r="C29" s="4" t="s">
        <v>232</v>
      </c>
      <c r="D29" s="5" t="s">
        <v>233</v>
      </c>
      <c r="E29" s="5" t="s">
        <v>234</v>
      </c>
      <c r="F29" s="5">
        <v>16</v>
      </c>
      <c r="G29" s="5" t="s">
        <v>235</v>
      </c>
      <c r="H29" s="6" t="s">
        <v>236</v>
      </c>
      <c r="I29" s="5" t="s">
        <v>237</v>
      </c>
    </row>
    <row r="30" spans="1:9" ht="13" customHeight="1" x14ac:dyDescent="0.2">
      <c r="A30" s="10" t="s">
        <v>238</v>
      </c>
      <c r="B30" s="10" t="s">
        <v>239</v>
      </c>
      <c r="C30" s="10" t="s">
        <v>240</v>
      </c>
      <c r="D30" s="11" t="s">
        <v>241</v>
      </c>
      <c r="E30" s="11" t="s">
        <v>242</v>
      </c>
      <c r="F30" s="11">
        <v>16</v>
      </c>
      <c r="G30" s="11" t="s">
        <v>243</v>
      </c>
      <c r="H30" s="12" t="s">
        <v>244</v>
      </c>
      <c r="I30" s="11" t="s">
        <v>245</v>
      </c>
    </row>
    <row r="31" spans="1:9" ht="10" customHeight="1" x14ac:dyDescent="0.2">
      <c r="A31" s="4" t="s">
        <v>230</v>
      </c>
      <c r="B31" s="4" t="s">
        <v>231</v>
      </c>
      <c r="C31" s="4" t="s">
        <v>246</v>
      </c>
      <c r="D31" s="5" t="s">
        <v>17</v>
      </c>
      <c r="E31" s="5" t="s">
        <v>18</v>
      </c>
      <c r="F31" s="5">
        <v>10</v>
      </c>
      <c r="G31" s="5" t="s">
        <v>247</v>
      </c>
      <c r="H31" s="6" t="s">
        <v>4</v>
      </c>
      <c r="I31" s="5" t="s">
        <v>21</v>
      </c>
    </row>
    <row r="32" spans="1:9" x14ac:dyDescent="0.2">
      <c r="A32" s="1" t="s">
        <v>248</v>
      </c>
      <c r="B32" s="3" t="s">
        <v>4</v>
      </c>
      <c r="C32" s="3" t="s">
        <v>4</v>
      </c>
      <c r="D32" s="3" t="s">
        <v>4</v>
      </c>
      <c r="E32" s="3" t="s">
        <v>4</v>
      </c>
      <c r="F32" s="3" t="s">
        <v>4</v>
      </c>
      <c r="G32" s="3" t="s">
        <v>4</v>
      </c>
      <c r="H32" s="2" t="s">
        <v>4</v>
      </c>
      <c r="I32" s="3" t="s">
        <v>4</v>
      </c>
    </row>
    <row r="33" spans="1:9" ht="36" x14ac:dyDescent="0.2">
      <c r="A33" s="4" t="s">
        <v>54</v>
      </c>
      <c r="B33" s="4" t="s">
        <v>63</v>
      </c>
      <c r="C33" s="7" t="s">
        <v>249</v>
      </c>
      <c r="D33" s="5" t="s">
        <v>17</v>
      </c>
      <c r="E33" s="5" t="s">
        <v>18</v>
      </c>
      <c r="F33" s="5">
        <v>33</v>
      </c>
      <c r="G33" s="5" t="s">
        <v>250</v>
      </c>
      <c r="H33" s="8" t="s">
        <v>4</v>
      </c>
      <c r="I33" s="9" t="s">
        <v>29</v>
      </c>
    </row>
    <row r="34" spans="1:9" ht="24" x14ac:dyDescent="0.2">
      <c r="A34" s="4" t="s">
        <v>118</v>
      </c>
      <c r="B34" s="4" t="s">
        <v>119</v>
      </c>
      <c r="C34" s="7" t="s">
        <v>24</v>
      </c>
      <c r="D34" s="5" t="s">
        <v>17</v>
      </c>
      <c r="E34" s="5" t="s">
        <v>18</v>
      </c>
      <c r="F34" s="5">
        <v>24</v>
      </c>
      <c r="G34" s="5" t="s">
        <v>123</v>
      </c>
      <c r="H34" s="8" t="s">
        <v>4</v>
      </c>
      <c r="I34" s="9" t="s">
        <v>29</v>
      </c>
    </row>
    <row r="35" spans="1:9" ht="24" x14ac:dyDescent="0.2">
      <c r="A35" s="4" t="s">
        <v>70</v>
      </c>
      <c r="B35" s="4" t="s">
        <v>252</v>
      </c>
      <c r="C35" s="7" t="s">
        <v>253</v>
      </c>
      <c r="D35" s="5" t="s">
        <v>17</v>
      </c>
      <c r="E35" s="5" t="s">
        <v>18</v>
      </c>
      <c r="F35" s="5">
        <v>21</v>
      </c>
      <c r="G35" s="5" t="s">
        <v>131</v>
      </c>
      <c r="H35" s="8" t="s">
        <v>4</v>
      </c>
      <c r="I35" s="9" t="s">
        <v>29</v>
      </c>
    </row>
    <row r="36" spans="1:9" ht="24" x14ac:dyDescent="0.2">
      <c r="A36" s="4" t="s">
        <v>254</v>
      </c>
      <c r="B36" s="4" t="s">
        <v>255</v>
      </c>
      <c r="C36" s="7" t="s">
        <v>256</v>
      </c>
      <c r="D36" s="5" t="s">
        <v>17</v>
      </c>
      <c r="E36" s="5" t="s">
        <v>18</v>
      </c>
      <c r="F36" s="5">
        <v>23</v>
      </c>
      <c r="G36" s="5" t="s">
        <v>107</v>
      </c>
      <c r="H36" s="8" t="s">
        <v>4</v>
      </c>
      <c r="I36" s="9" t="s">
        <v>29</v>
      </c>
    </row>
    <row r="37" spans="1:9" x14ac:dyDescent="0.2">
      <c r="A37" s="4" t="s">
        <v>78</v>
      </c>
      <c r="B37" s="4" t="s">
        <v>79</v>
      </c>
      <c r="C37" s="4" t="s">
        <v>257</v>
      </c>
      <c r="D37" s="5" t="s">
        <v>17</v>
      </c>
      <c r="E37" s="5" t="s">
        <v>18</v>
      </c>
      <c r="F37" s="5">
        <v>16</v>
      </c>
      <c r="G37" s="5" t="s">
        <v>59</v>
      </c>
      <c r="H37" s="6" t="s">
        <v>4</v>
      </c>
      <c r="I37" s="5" t="s">
        <v>21</v>
      </c>
    </row>
    <row r="38" spans="1:9" ht="24" x14ac:dyDescent="0.2">
      <c r="A38" s="4" t="s">
        <v>86</v>
      </c>
      <c r="B38" s="4" t="s">
        <v>103</v>
      </c>
      <c r="C38" s="7" t="s">
        <v>258</v>
      </c>
      <c r="D38" s="5" t="s">
        <v>17</v>
      </c>
      <c r="E38" s="5" t="s">
        <v>18</v>
      </c>
      <c r="F38" s="5">
        <v>21</v>
      </c>
      <c r="G38" s="5" t="s">
        <v>131</v>
      </c>
      <c r="H38" s="8" t="s">
        <v>4</v>
      </c>
      <c r="I38" s="9" t="s">
        <v>29</v>
      </c>
    </row>
    <row r="39" spans="1:9" x14ac:dyDescent="0.2">
      <c r="A39" s="4" t="s">
        <v>86</v>
      </c>
      <c r="B39" s="4" t="s">
        <v>111</v>
      </c>
      <c r="C39" s="4" t="s">
        <v>259</v>
      </c>
      <c r="D39" s="5" t="s">
        <v>17</v>
      </c>
      <c r="E39" s="5" t="s">
        <v>18</v>
      </c>
      <c r="F39" s="5">
        <v>12</v>
      </c>
      <c r="G39" s="5" t="s">
        <v>43</v>
      </c>
      <c r="H39" s="6" t="s">
        <v>4</v>
      </c>
      <c r="I39" s="5" t="s">
        <v>21</v>
      </c>
    </row>
    <row r="40" spans="1:9" x14ac:dyDescent="0.2">
      <c r="A40" s="4" t="s">
        <v>86</v>
      </c>
      <c r="B40" s="4" t="s">
        <v>260</v>
      </c>
      <c r="C40" s="4" t="s">
        <v>261</v>
      </c>
      <c r="D40" s="5" t="s">
        <v>17</v>
      </c>
      <c r="E40" s="5" t="s">
        <v>18</v>
      </c>
      <c r="F40" s="5">
        <v>14</v>
      </c>
      <c r="G40" s="5" t="s">
        <v>27</v>
      </c>
      <c r="H40" s="6" t="s">
        <v>4</v>
      </c>
      <c r="I40" s="5" t="s">
        <v>21</v>
      </c>
    </row>
    <row r="41" spans="1:9" ht="24" x14ac:dyDescent="0.2">
      <c r="A41" s="4" t="s">
        <v>78</v>
      </c>
      <c r="B41" s="4" t="s">
        <v>95</v>
      </c>
      <c r="C41" s="7" t="s">
        <v>262</v>
      </c>
      <c r="D41" s="5" t="s">
        <v>17</v>
      </c>
      <c r="E41" s="5" t="s">
        <v>18</v>
      </c>
      <c r="F41" s="5">
        <v>33</v>
      </c>
      <c r="G41" s="5" t="s">
        <v>250</v>
      </c>
      <c r="H41" s="8" t="s">
        <v>4</v>
      </c>
      <c r="I41" s="9" t="s">
        <v>29</v>
      </c>
    </row>
    <row r="42" spans="1:9" ht="36" x14ac:dyDescent="0.2">
      <c r="A42" s="4" t="s">
        <v>70</v>
      </c>
      <c r="B42" s="4" t="s">
        <v>252</v>
      </c>
      <c r="C42" s="7" t="s">
        <v>263</v>
      </c>
      <c r="D42" s="5" t="s">
        <v>17</v>
      </c>
      <c r="E42" s="5" t="s">
        <v>18</v>
      </c>
      <c r="F42" s="5">
        <v>49</v>
      </c>
      <c r="G42" s="5" t="s">
        <v>264</v>
      </c>
      <c r="H42" s="8" t="s">
        <v>4</v>
      </c>
      <c r="I42" s="9" t="s">
        <v>29</v>
      </c>
    </row>
    <row r="43" spans="1:9" x14ac:dyDescent="0.2">
      <c r="A43" s="4" t="s">
        <v>254</v>
      </c>
      <c r="B43" s="4" t="s">
        <v>255</v>
      </c>
      <c r="C43" s="4" t="s">
        <v>265</v>
      </c>
      <c r="D43" s="5" t="s">
        <v>17</v>
      </c>
      <c r="E43" s="5" t="s">
        <v>18</v>
      </c>
      <c r="F43" s="5">
        <v>10</v>
      </c>
      <c r="G43" s="5" t="s">
        <v>266</v>
      </c>
      <c r="H43" s="6" t="s">
        <v>4</v>
      </c>
      <c r="I43" s="5" t="s">
        <v>21</v>
      </c>
    </row>
    <row r="44" spans="1:9" ht="24" x14ac:dyDescent="0.2">
      <c r="A44" s="4" t="s">
        <v>267</v>
      </c>
      <c r="B44" s="4" t="s">
        <v>268</v>
      </c>
      <c r="C44" s="7" t="s">
        <v>269</v>
      </c>
      <c r="D44" s="5" t="s">
        <v>17</v>
      </c>
      <c r="E44" s="5" t="s">
        <v>18</v>
      </c>
      <c r="F44" s="5">
        <v>17</v>
      </c>
      <c r="G44" s="5" t="s">
        <v>91</v>
      </c>
      <c r="H44" s="8" t="s">
        <v>4</v>
      </c>
      <c r="I44" s="9" t="s">
        <v>29</v>
      </c>
    </row>
    <row r="45" spans="1:9" x14ac:dyDescent="0.2">
      <c r="A45" s="4" t="s">
        <v>254</v>
      </c>
      <c r="B45" s="4" t="s">
        <v>255</v>
      </c>
      <c r="C45" s="4" t="s">
        <v>270</v>
      </c>
      <c r="D45" s="5" t="s">
        <v>17</v>
      </c>
      <c r="E45" s="5" t="s">
        <v>18</v>
      </c>
      <c r="F45" s="5">
        <v>13</v>
      </c>
      <c r="G45" s="5" t="s">
        <v>115</v>
      </c>
      <c r="H45" s="6" t="s">
        <v>4</v>
      </c>
      <c r="I45" s="5" t="s">
        <v>21</v>
      </c>
    </row>
    <row r="46" spans="1:9" x14ac:dyDescent="0.2">
      <c r="A46" s="4" t="s">
        <v>222</v>
      </c>
      <c r="B46" s="4" t="s">
        <v>271</v>
      </c>
      <c r="C46" s="4" t="s">
        <v>272</v>
      </c>
      <c r="D46" s="5" t="s">
        <v>17</v>
      </c>
      <c r="E46" s="5" t="s">
        <v>18</v>
      </c>
      <c r="F46" s="5">
        <v>17</v>
      </c>
      <c r="G46" s="5" t="s">
        <v>91</v>
      </c>
      <c r="H46" s="6" t="s">
        <v>4</v>
      </c>
      <c r="I46" s="5" t="s">
        <v>21</v>
      </c>
    </row>
    <row r="47" spans="1:9" ht="24" x14ac:dyDescent="0.2">
      <c r="A47" s="4" t="s">
        <v>78</v>
      </c>
      <c r="B47" s="4" t="s">
        <v>79</v>
      </c>
      <c r="C47" s="7" t="s">
        <v>273</v>
      </c>
      <c r="D47" s="5" t="s">
        <v>17</v>
      </c>
      <c r="E47" s="5" t="s">
        <v>18</v>
      </c>
      <c r="F47" s="5">
        <v>27</v>
      </c>
      <c r="G47" s="5" t="s">
        <v>274</v>
      </c>
      <c r="H47" s="8" t="s">
        <v>4</v>
      </c>
      <c r="I47" s="9" t="s">
        <v>29</v>
      </c>
    </row>
    <row r="48" spans="1:9" ht="24" x14ac:dyDescent="0.2">
      <c r="A48" s="4" t="s">
        <v>222</v>
      </c>
      <c r="B48" s="4" t="s">
        <v>275</v>
      </c>
      <c r="C48" s="7" t="s">
        <v>273</v>
      </c>
      <c r="D48" s="5" t="s">
        <v>17</v>
      </c>
      <c r="E48" s="5" t="s">
        <v>18</v>
      </c>
      <c r="F48" s="5">
        <v>27</v>
      </c>
      <c r="G48" s="5" t="s">
        <v>274</v>
      </c>
      <c r="H48" s="8" t="s">
        <v>4</v>
      </c>
      <c r="I48" s="9" t="s">
        <v>29</v>
      </c>
    </row>
    <row r="49" spans="1:9" x14ac:dyDescent="0.2">
      <c r="A49" s="4" t="s">
        <v>222</v>
      </c>
      <c r="B49" s="4" t="s">
        <v>271</v>
      </c>
      <c r="C49" s="4" t="s">
        <v>276</v>
      </c>
      <c r="D49" s="5" t="s">
        <v>17</v>
      </c>
      <c r="E49" s="5" t="s">
        <v>18</v>
      </c>
      <c r="F49" s="5">
        <v>11</v>
      </c>
      <c r="G49" s="5" t="s">
        <v>171</v>
      </c>
      <c r="H49" s="6" t="s">
        <v>4</v>
      </c>
      <c r="I49" s="5" t="s">
        <v>21</v>
      </c>
    </row>
    <row r="50" spans="1:9" ht="24" x14ac:dyDescent="0.2">
      <c r="A50" s="4" t="s">
        <v>86</v>
      </c>
      <c r="B50" s="4" t="s">
        <v>260</v>
      </c>
      <c r="C50" s="7" t="s">
        <v>277</v>
      </c>
      <c r="D50" s="5" t="s">
        <v>17</v>
      </c>
      <c r="E50" s="5" t="s">
        <v>18</v>
      </c>
      <c r="F50" s="5">
        <v>23</v>
      </c>
      <c r="G50" s="5" t="s">
        <v>107</v>
      </c>
      <c r="H50" s="8" t="s">
        <v>4</v>
      </c>
      <c r="I50" s="9" t="s">
        <v>29</v>
      </c>
    </row>
    <row r="51" spans="1:9" ht="24" x14ac:dyDescent="0.2">
      <c r="A51" s="4" t="s">
        <v>86</v>
      </c>
      <c r="B51" s="4" t="s">
        <v>103</v>
      </c>
      <c r="C51" s="7" t="s">
        <v>277</v>
      </c>
      <c r="D51" s="5" t="s">
        <v>17</v>
      </c>
      <c r="E51" s="5" t="s">
        <v>18</v>
      </c>
      <c r="F51" s="5">
        <v>23</v>
      </c>
      <c r="G51" s="5" t="s">
        <v>107</v>
      </c>
      <c r="H51" s="8" t="s">
        <v>4</v>
      </c>
      <c r="I51" s="9" t="s">
        <v>29</v>
      </c>
    </row>
    <row r="52" spans="1:9" ht="24" x14ac:dyDescent="0.2">
      <c r="A52" s="4" t="s">
        <v>86</v>
      </c>
      <c r="B52" s="4" t="s">
        <v>111</v>
      </c>
      <c r="C52" s="7" t="s">
        <v>277</v>
      </c>
      <c r="D52" s="5" t="s">
        <v>17</v>
      </c>
      <c r="E52" s="5" t="s">
        <v>18</v>
      </c>
      <c r="F52" s="5">
        <v>23</v>
      </c>
      <c r="G52" s="5" t="s">
        <v>107</v>
      </c>
      <c r="H52" s="8" t="s">
        <v>4</v>
      </c>
      <c r="I52" s="9" t="s">
        <v>29</v>
      </c>
    </row>
    <row r="53" spans="1:9" ht="24" x14ac:dyDescent="0.2">
      <c r="A53" s="4" t="s">
        <v>134</v>
      </c>
      <c r="B53" s="4" t="s">
        <v>135</v>
      </c>
      <c r="C53" s="7" t="s">
        <v>278</v>
      </c>
      <c r="D53" s="5" t="s">
        <v>17</v>
      </c>
      <c r="E53" s="5" t="s">
        <v>18</v>
      </c>
      <c r="F53" s="5">
        <v>16</v>
      </c>
      <c r="G53" s="5" t="s">
        <v>59</v>
      </c>
      <c r="H53" s="8" t="s">
        <v>4</v>
      </c>
      <c r="I53" s="9" t="s">
        <v>29</v>
      </c>
    </row>
    <row r="54" spans="1:9" ht="24" x14ac:dyDescent="0.2">
      <c r="A54" s="4" t="s">
        <v>14</v>
      </c>
      <c r="B54" s="4" t="s">
        <v>183</v>
      </c>
      <c r="C54" s="7" t="s">
        <v>279</v>
      </c>
      <c r="D54" s="5" t="s">
        <v>17</v>
      </c>
      <c r="E54" s="5" t="s">
        <v>18</v>
      </c>
      <c r="F54" s="5">
        <v>16</v>
      </c>
      <c r="G54" s="5" t="s">
        <v>59</v>
      </c>
      <c r="H54" s="8" t="s">
        <v>4</v>
      </c>
      <c r="I54" s="9" t="s">
        <v>29</v>
      </c>
    </row>
    <row r="55" spans="1:9" x14ac:dyDescent="0.2">
      <c r="A55" s="4" t="s">
        <v>280</v>
      </c>
      <c r="B55" s="4" t="s">
        <v>281</v>
      </c>
      <c r="C55" s="4" t="s">
        <v>282</v>
      </c>
      <c r="D55" s="5" t="s">
        <v>17</v>
      </c>
      <c r="E55" s="5" t="s">
        <v>18</v>
      </c>
      <c r="F55" s="5">
        <v>10</v>
      </c>
      <c r="G55" s="5" t="s">
        <v>266</v>
      </c>
      <c r="H55" s="6" t="s">
        <v>4</v>
      </c>
      <c r="I55" s="5" t="s">
        <v>21</v>
      </c>
    </row>
    <row r="56" spans="1:9" ht="24" x14ac:dyDescent="0.2">
      <c r="A56" s="4" t="s">
        <v>14</v>
      </c>
      <c r="B56" s="4" t="s">
        <v>191</v>
      </c>
      <c r="C56" s="7" t="s">
        <v>283</v>
      </c>
      <c r="D56" s="5" t="s">
        <v>17</v>
      </c>
      <c r="E56" s="5" t="s">
        <v>18</v>
      </c>
      <c r="F56" s="5">
        <v>27</v>
      </c>
      <c r="G56" s="5" t="s">
        <v>274</v>
      </c>
      <c r="H56" s="8" t="s">
        <v>4</v>
      </c>
      <c r="I56" s="9" t="s">
        <v>29</v>
      </c>
    </row>
    <row r="57" spans="1:9" x14ac:dyDescent="0.2">
      <c r="A57" s="4" t="s">
        <v>54</v>
      </c>
      <c r="B57" s="4" t="s">
        <v>284</v>
      </c>
      <c r="C57" s="4" t="s">
        <v>285</v>
      </c>
      <c r="D57" s="5" t="s">
        <v>17</v>
      </c>
      <c r="E57" s="5" t="s">
        <v>18</v>
      </c>
      <c r="F57" s="5">
        <v>11</v>
      </c>
      <c r="G57" s="5" t="s">
        <v>171</v>
      </c>
      <c r="H57" s="6" t="s">
        <v>4</v>
      </c>
      <c r="I57" s="5" t="s">
        <v>21</v>
      </c>
    </row>
    <row r="58" spans="1:9" x14ac:dyDescent="0.2">
      <c r="A58" s="1" t="s">
        <v>286</v>
      </c>
      <c r="B58" s="3" t="s">
        <v>4</v>
      </c>
      <c r="C58" s="3" t="s">
        <v>4</v>
      </c>
      <c r="D58" s="3" t="s">
        <v>4</v>
      </c>
      <c r="E58" s="3" t="s">
        <v>4</v>
      </c>
      <c r="F58" s="3" t="s">
        <v>4</v>
      </c>
      <c r="G58" s="3" t="s">
        <v>4</v>
      </c>
      <c r="H58" s="2" t="s">
        <v>4</v>
      </c>
      <c r="I58" s="3" t="s">
        <v>4</v>
      </c>
    </row>
    <row r="59" spans="1:9" x14ac:dyDescent="0.2">
      <c r="A59" s="4" t="s">
        <v>238</v>
      </c>
      <c r="B59" s="4" t="s">
        <v>239</v>
      </c>
      <c r="C59" s="4" t="s">
        <v>287</v>
      </c>
      <c r="D59" s="5" t="s">
        <v>17</v>
      </c>
      <c r="E59" s="5" t="s">
        <v>288</v>
      </c>
      <c r="F59" s="5">
        <v>15</v>
      </c>
      <c r="G59" s="5" t="s">
        <v>115</v>
      </c>
      <c r="H59" s="6" t="s">
        <v>4</v>
      </c>
      <c r="I59" s="5" t="s">
        <v>21</v>
      </c>
    </row>
    <row r="60" spans="1:9" x14ac:dyDescent="0.2">
      <c r="A60" s="4" t="s">
        <v>230</v>
      </c>
      <c r="B60" s="4" t="s">
        <v>231</v>
      </c>
      <c r="C60" s="4" t="s">
        <v>287</v>
      </c>
      <c r="D60" s="5" t="s">
        <v>17</v>
      </c>
      <c r="E60" s="5" t="s">
        <v>288</v>
      </c>
      <c r="F60" s="5">
        <v>15</v>
      </c>
      <c r="G60" s="5" t="s">
        <v>115</v>
      </c>
      <c r="H60" s="6" t="s">
        <v>4</v>
      </c>
      <c r="I60" s="5" t="s">
        <v>21</v>
      </c>
    </row>
    <row r="61" spans="1:9" ht="24" x14ac:dyDescent="0.2">
      <c r="A61" s="4" t="s">
        <v>230</v>
      </c>
      <c r="B61" s="4" t="s">
        <v>231</v>
      </c>
      <c r="C61" s="7" t="s">
        <v>24</v>
      </c>
      <c r="D61" s="5" t="s">
        <v>17</v>
      </c>
      <c r="E61" s="5" t="s">
        <v>288</v>
      </c>
      <c r="F61" s="5">
        <v>10</v>
      </c>
      <c r="G61" s="5" t="s">
        <v>247</v>
      </c>
      <c r="H61" s="6" t="s">
        <v>4</v>
      </c>
      <c r="I61" s="5" t="s">
        <v>21</v>
      </c>
    </row>
    <row r="62" spans="1:9" ht="36" x14ac:dyDescent="0.2">
      <c r="A62" s="4" t="s">
        <v>22</v>
      </c>
      <c r="B62" s="4" t="s">
        <v>31</v>
      </c>
      <c r="C62" s="7" t="s">
        <v>32</v>
      </c>
      <c r="D62" s="5" t="s">
        <v>17</v>
      </c>
      <c r="E62" s="5" t="s">
        <v>288</v>
      </c>
      <c r="F62" s="5">
        <v>31</v>
      </c>
      <c r="G62" s="5" t="s">
        <v>35</v>
      </c>
      <c r="H62" s="8" t="s">
        <v>4</v>
      </c>
      <c r="I62" s="9" t="s">
        <v>29</v>
      </c>
    </row>
    <row r="63" spans="1:9" x14ac:dyDescent="0.2">
      <c r="A63" s="4" t="s">
        <v>14</v>
      </c>
      <c r="B63" s="4" t="s">
        <v>39</v>
      </c>
      <c r="C63" s="4" t="s">
        <v>289</v>
      </c>
      <c r="D63" s="5" t="s">
        <v>17</v>
      </c>
      <c r="E63" s="5" t="s">
        <v>288</v>
      </c>
      <c r="F63" s="5">
        <v>15</v>
      </c>
      <c r="G63" s="5" t="s">
        <v>115</v>
      </c>
      <c r="H63" s="6" t="s">
        <v>4</v>
      </c>
      <c r="I63" s="5" t="s">
        <v>21</v>
      </c>
    </row>
    <row r="64" spans="1:9" ht="24" x14ac:dyDescent="0.2">
      <c r="A64" s="4" t="s">
        <v>22</v>
      </c>
      <c r="B64" s="4" t="s">
        <v>290</v>
      </c>
      <c r="C64" s="7" t="s">
        <v>291</v>
      </c>
      <c r="D64" s="5" t="s">
        <v>17</v>
      </c>
      <c r="E64" s="5" t="s">
        <v>288</v>
      </c>
      <c r="F64" s="5">
        <v>18</v>
      </c>
      <c r="G64" s="5" t="s">
        <v>59</v>
      </c>
      <c r="H64" s="8" t="s">
        <v>4</v>
      </c>
      <c r="I64" s="9" t="s">
        <v>29</v>
      </c>
    </row>
    <row r="65" spans="1:9" x14ac:dyDescent="0.2">
      <c r="A65" s="4" t="s">
        <v>14</v>
      </c>
      <c r="B65" s="4" t="s">
        <v>191</v>
      </c>
      <c r="C65" s="4" t="s">
        <v>192</v>
      </c>
      <c r="D65" s="5" t="s">
        <v>17</v>
      </c>
      <c r="E65" s="5" t="s">
        <v>288</v>
      </c>
      <c r="F65" s="5">
        <v>9</v>
      </c>
      <c r="G65" s="5" t="s">
        <v>195</v>
      </c>
      <c r="H65" s="6" t="s">
        <v>4</v>
      </c>
      <c r="I65" s="5" t="s">
        <v>21</v>
      </c>
    </row>
    <row r="66" spans="1:9" x14ac:dyDescent="0.2">
      <c r="A66" s="4" t="s">
        <v>14</v>
      </c>
      <c r="B66" s="4" t="s">
        <v>15</v>
      </c>
      <c r="C66" s="4" t="s">
        <v>200</v>
      </c>
      <c r="D66" s="5" t="s">
        <v>17</v>
      </c>
      <c r="E66" s="5" t="s">
        <v>288</v>
      </c>
      <c r="F66" s="5">
        <v>4</v>
      </c>
      <c r="G66" s="5" t="s">
        <v>203</v>
      </c>
      <c r="H66" s="6" t="s">
        <v>4</v>
      </c>
      <c r="I66" s="5" t="s">
        <v>21</v>
      </c>
    </row>
    <row r="67" spans="1:9" x14ac:dyDescent="0.2">
      <c r="A67" s="4" t="s">
        <v>14</v>
      </c>
      <c r="B67" s="4" t="s">
        <v>191</v>
      </c>
      <c r="C67" s="4" t="s">
        <v>208</v>
      </c>
      <c r="D67" s="5" t="s">
        <v>17</v>
      </c>
      <c r="E67" s="5" t="s">
        <v>288</v>
      </c>
      <c r="F67" s="5">
        <v>14</v>
      </c>
      <c r="G67" s="5" t="s">
        <v>43</v>
      </c>
      <c r="H67" s="6" t="s">
        <v>4</v>
      </c>
      <c r="I67" s="5" t="s">
        <v>21</v>
      </c>
    </row>
    <row r="68" spans="1:9" ht="24" x14ac:dyDescent="0.2">
      <c r="A68" s="4" t="s">
        <v>222</v>
      </c>
      <c r="B68" s="4" t="s">
        <v>223</v>
      </c>
      <c r="C68" s="7" t="s">
        <v>292</v>
      </c>
      <c r="D68" s="5" t="s">
        <v>17</v>
      </c>
      <c r="E68" s="5" t="s">
        <v>288</v>
      </c>
      <c r="F68" s="5">
        <v>25</v>
      </c>
      <c r="G68" s="5" t="s">
        <v>51</v>
      </c>
      <c r="H68" s="8" t="s">
        <v>4</v>
      </c>
      <c r="I68" s="9" t="s">
        <v>29</v>
      </c>
    </row>
    <row r="69" spans="1:9" x14ac:dyDescent="0.2">
      <c r="A69" s="4" t="s">
        <v>14</v>
      </c>
      <c r="B69" s="4" t="s">
        <v>183</v>
      </c>
      <c r="C69" s="4" t="s">
        <v>293</v>
      </c>
      <c r="D69" s="5" t="s">
        <v>17</v>
      </c>
      <c r="E69" s="5" t="s">
        <v>288</v>
      </c>
      <c r="F69" s="5">
        <v>6</v>
      </c>
      <c r="G69" s="5" t="s">
        <v>187</v>
      </c>
      <c r="H69" s="6" t="s">
        <v>4</v>
      </c>
      <c r="I69" s="5" t="s">
        <v>21</v>
      </c>
    </row>
    <row r="70" spans="1:9" ht="24" x14ac:dyDescent="0.2">
      <c r="A70" s="4" t="s">
        <v>174</v>
      </c>
      <c r="B70" s="4" t="s">
        <v>175</v>
      </c>
      <c r="C70" s="7" t="s">
        <v>294</v>
      </c>
      <c r="D70" s="5" t="s">
        <v>17</v>
      </c>
      <c r="E70" s="5" t="s">
        <v>288</v>
      </c>
      <c r="F70" s="5">
        <v>24</v>
      </c>
      <c r="G70" s="5" t="s">
        <v>131</v>
      </c>
      <c r="H70" s="8" t="s">
        <v>4</v>
      </c>
      <c r="I70" s="9" t="s">
        <v>29</v>
      </c>
    </row>
    <row r="71" spans="1:9" x14ac:dyDescent="0.2">
      <c r="A71" s="4" t="s">
        <v>14</v>
      </c>
      <c r="B71" s="4" t="s">
        <v>159</v>
      </c>
      <c r="C71" s="4" t="s">
        <v>168</v>
      </c>
      <c r="D71" s="5" t="s">
        <v>17</v>
      </c>
      <c r="E71" s="5" t="s">
        <v>288</v>
      </c>
      <c r="F71" s="5">
        <v>12</v>
      </c>
      <c r="G71" s="5" t="s">
        <v>171</v>
      </c>
      <c r="H71" s="6" t="s">
        <v>4</v>
      </c>
      <c r="I71" s="5" t="s">
        <v>21</v>
      </c>
    </row>
    <row r="72" spans="1:9" x14ac:dyDescent="0.2">
      <c r="A72" s="4" t="s">
        <v>134</v>
      </c>
      <c r="B72" s="4" t="s">
        <v>135</v>
      </c>
      <c r="C72" s="4" t="s">
        <v>295</v>
      </c>
      <c r="D72" s="5" t="s">
        <v>17</v>
      </c>
      <c r="E72" s="5" t="s">
        <v>288</v>
      </c>
      <c r="F72" s="5">
        <v>13</v>
      </c>
      <c r="G72" s="5" t="s">
        <v>155</v>
      </c>
      <c r="H72" s="6" t="s">
        <v>4</v>
      </c>
      <c r="I72" s="5" t="s">
        <v>21</v>
      </c>
    </row>
    <row r="73" spans="1:9" x14ac:dyDescent="0.2">
      <c r="A73" s="4" t="s">
        <v>134</v>
      </c>
      <c r="B73" s="4" t="s">
        <v>143</v>
      </c>
      <c r="C73" s="4" t="s">
        <v>144</v>
      </c>
      <c r="D73" s="5" t="s">
        <v>17</v>
      </c>
      <c r="E73" s="5" t="s">
        <v>288</v>
      </c>
      <c r="F73" s="5">
        <v>11</v>
      </c>
      <c r="G73" s="5" t="s">
        <v>19</v>
      </c>
      <c r="H73" s="6" t="s">
        <v>4</v>
      </c>
      <c r="I73" s="5" t="s">
        <v>21</v>
      </c>
    </row>
    <row r="74" spans="1:9" x14ac:dyDescent="0.2">
      <c r="A74" s="4" t="s">
        <v>134</v>
      </c>
      <c r="B74" s="4" t="s">
        <v>135</v>
      </c>
      <c r="C74" s="4" t="s">
        <v>296</v>
      </c>
      <c r="D74" s="5" t="s">
        <v>17</v>
      </c>
      <c r="E74" s="5" t="s">
        <v>288</v>
      </c>
      <c r="F74" s="5">
        <v>9</v>
      </c>
      <c r="G74" s="5" t="s">
        <v>195</v>
      </c>
      <c r="H74" s="6" t="s">
        <v>4</v>
      </c>
      <c r="I74" s="5" t="s">
        <v>21</v>
      </c>
    </row>
    <row r="75" spans="1:9" x14ac:dyDescent="0.2">
      <c r="A75" s="4" t="s">
        <v>267</v>
      </c>
      <c r="B75" s="4" t="s">
        <v>297</v>
      </c>
      <c r="C75" s="4" t="s">
        <v>298</v>
      </c>
      <c r="D75" s="5" t="s">
        <v>17</v>
      </c>
      <c r="E75" s="5" t="s">
        <v>288</v>
      </c>
      <c r="F75" s="5">
        <v>6</v>
      </c>
      <c r="G75" s="5" t="s">
        <v>187</v>
      </c>
      <c r="H75" s="6" t="s">
        <v>4</v>
      </c>
      <c r="I75" s="5" t="s">
        <v>21</v>
      </c>
    </row>
    <row r="76" spans="1:9" ht="24" x14ac:dyDescent="0.2">
      <c r="A76" s="4" t="s">
        <v>54</v>
      </c>
      <c r="B76" s="4" t="s">
        <v>55</v>
      </c>
      <c r="C76" s="7" t="s">
        <v>299</v>
      </c>
      <c r="D76" s="5" t="s">
        <v>17</v>
      </c>
      <c r="E76" s="5" t="s">
        <v>288</v>
      </c>
      <c r="F76" s="5">
        <v>18</v>
      </c>
      <c r="G76" s="5" t="s">
        <v>59</v>
      </c>
      <c r="H76" s="8" t="s">
        <v>4</v>
      </c>
      <c r="I76" s="9" t="s">
        <v>29</v>
      </c>
    </row>
    <row r="77" spans="1:9" x14ac:dyDescent="0.2">
      <c r="A77" s="4" t="s">
        <v>14</v>
      </c>
      <c r="B77" s="4" t="s">
        <v>191</v>
      </c>
      <c r="C77" s="4" t="s">
        <v>300</v>
      </c>
      <c r="D77" s="5" t="s">
        <v>17</v>
      </c>
      <c r="E77" s="5" t="s">
        <v>288</v>
      </c>
      <c r="F77" s="5">
        <v>10</v>
      </c>
      <c r="G77" s="5" t="s">
        <v>247</v>
      </c>
      <c r="H77" s="6" t="s">
        <v>4</v>
      </c>
      <c r="I77" s="5" t="s">
        <v>21</v>
      </c>
    </row>
    <row r="78" spans="1:9" ht="24" x14ac:dyDescent="0.2">
      <c r="A78" s="4" t="s">
        <v>54</v>
      </c>
      <c r="B78" s="4" t="s">
        <v>63</v>
      </c>
      <c r="C78" s="7" t="s">
        <v>64</v>
      </c>
      <c r="D78" s="5" t="s">
        <v>17</v>
      </c>
      <c r="E78" s="5" t="s">
        <v>288</v>
      </c>
      <c r="F78" s="5">
        <v>21</v>
      </c>
      <c r="G78" s="5" t="s">
        <v>67</v>
      </c>
      <c r="H78" s="8" t="s">
        <v>4</v>
      </c>
      <c r="I78" s="9" t="s">
        <v>29</v>
      </c>
    </row>
    <row r="79" spans="1:9" ht="24" x14ac:dyDescent="0.2">
      <c r="A79" s="4" t="s">
        <v>78</v>
      </c>
      <c r="B79" s="4" t="s">
        <v>79</v>
      </c>
      <c r="C79" s="7" t="s">
        <v>80</v>
      </c>
      <c r="D79" s="5" t="s">
        <v>17</v>
      </c>
      <c r="E79" s="5" t="s">
        <v>288</v>
      </c>
      <c r="F79" s="5">
        <v>23</v>
      </c>
      <c r="G79" s="5" t="s">
        <v>83</v>
      </c>
      <c r="H79" s="8" t="s">
        <v>4</v>
      </c>
      <c r="I79" s="9" t="s">
        <v>29</v>
      </c>
    </row>
    <row r="80" spans="1:9" ht="24" x14ac:dyDescent="0.2">
      <c r="A80" s="4" t="s">
        <v>134</v>
      </c>
      <c r="B80" s="4" t="s">
        <v>135</v>
      </c>
      <c r="C80" s="7" t="s">
        <v>80</v>
      </c>
      <c r="D80" s="5" t="s">
        <v>17</v>
      </c>
      <c r="E80" s="5" t="s">
        <v>288</v>
      </c>
      <c r="F80" s="5">
        <v>23</v>
      </c>
      <c r="G80" s="5" t="s">
        <v>83</v>
      </c>
      <c r="H80" s="8" t="s">
        <v>4</v>
      </c>
      <c r="I80" s="9" t="s">
        <v>29</v>
      </c>
    </row>
    <row r="81" spans="1:9" ht="36" x14ac:dyDescent="0.2">
      <c r="A81" s="4" t="s">
        <v>78</v>
      </c>
      <c r="B81" s="4" t="s">
        <v>95</v>
      </c>
      <c r="C81" s="7" t="s">
        <v>301</v>
      </c>
      <c r="D81" s="5" t="s">
        <v>17</v>
      </c>
      <c r="E81" s="5" t="s">
        <v>288</v>
      </c>
      <c r="F81" s="5">
        <v>54</v>
      </c>
      <c r="G81" s="5" t="s">
        <v>302</v>
      </c>
      <c r="H81" s="8" t="s">
        <v>4</v>
      </c>
      <c r="I81" s="9" t="s">
        <v>29</v>
      </c>
    </row>
    <row r="82" spans="1:9" x14ac:dyDescent="0.2">
      <c r="A82" s="4" t="s">
        <v>86</v>
      </c>
      <c r="B82" s="4" t="s">
        <v>260</v>
      </c>
      <c r="C82" s="4" t="s">
        <v>303</v>
      </c>
      <c r="D82" s="5" t="s">
        <v>17</v>
      </c>
      <c r="E82" s="5" t="s">
        <v>288</v>
      </c>
      <c r="F82" s="5">
        <v>20</v>
      </c>
      <c r="G82" s="5" t="s">
        <v>91</v>
      </c>
      <c r="H82" s="6" t="s">
        <v>4</v>
      </c>
      <c r="I82" s="5" t="s">
        <v>21</v>
      </c>
    </row>
    <row r="83" spans="1:9" ht="24" x14ac:dyDescent="0.2">
      <c r="A83" s="4" t="s">
        <v>86</v>
      </c>
      <c r="B83" s="4" t="s">
        <v>304</v>
      </c>
      <c r="C83" s="7" t="s">
        <v>96</v>
      </c>
      <c r="D83" s="5" t="s">
        <v>17</v>
      </c>
      <c r="E83" s="5" t="s">
        <v>288</v>
      </c>
      <c r="F83" s="5">
        <v>34</v>
      </c>
      <c r="G83" s="5" t="s">
        <v>99</v>
      </c>
      <c r="H83" s="8" t="s">
        <v>4</v>
      </c>
      <c r="I83" s="9" t="s">
        <v>29</v>
      </c>
    </row>
    <row r="84" spans="1:9" x14ac:dyDescent="0.2">
      <c r="A84" s="4" t="s">
        <v>86</v>
      </c>
      <c r="B84" s="4" t="s">
        <v>87</v>
      </c>
      <c r="C84" s="4" t="s">
        <v>305</v>
      </c>
      <c r="D84" s="5" t="s">
        <v>17</v>
      </c>
      <c r="E84" s="5" t="s">
        <v>288</v>
      </c>
      <c r="F84" s="5">
        <v>19</v>
      </c>
      <c r="G84" s="5" t="s">
        <v>306</v>
      </c>
      <c r="H84" s="6" t="s">
        <v>4</v>
      </c>
      <c r="I84" s="5" t="s">
        <v>21</v>
      </c>
    </row>
    <row r="85" spans="1:9" ht="24" x14ac:dyDescent="0.2">
      <c r="A85" s="4" t="s">
        <v>118</v>
      </c>
      <c r="B85" s="4" t="s">
        <v>119</v>
      </c>
      <c r="C85" s="7" t="s">
        <v>120</v>
      </c>
      <c r="D85" s="5" t="s">
        <v>17</v>
      </c>
      <c r="E85" s="5" t="s">
        <v>288</v>
      </c>
      <c r="F85" s="5">
        <v>27</v>
      </c>
      <c r="G85" s="5" t="s">
        <v>123</v>
      </c>
      <c r="H85" s="8" t="s">
        <v>4</v>
      </c>
      <c r="I85" s="9" t="s">
        <v>29</v>
      </c>
    </row>
    <row r="86" spans="1:9" x14ac:dyDescent="0.2">
      <c r="A86" s="1" t="s">
        <v>307</v>
      </c>
      <c r="B86" s="3" t="s">
        <v>4</v>
      </c>
      <c r="C86" s="3" t="s">
        <v>4</v>
      </c>
      <c r="D86" s="3" t="s">
        <v>4</v>
      </c>
      <c r="E86" s="3" t="s">
        <v>4</v>
      </c>
      <c r="F86" s="3" t="s">
        <v>4</v>
      </c>
      <c r="G86" s="3" t="s">
        <v>4</v>
      </c>
      <c r="H86" s="2" t="s">
        <v>4</v>
      </c>
      <c r="I86" s="3" t="s">
        <v>4</v>
      </c>
    </row>
    <row r="87" spans="1:9" ht="24" x14ac:dyDescent="0.2">
      <c r="A87" s="10" t="s">
        <v>54</v>
      </c>
      <c r="B87" s="10" t="s">
        <v>284</v>
      </c>
      <c r="C87" s="13" t="s">
        <v>283</v>
      </c>
      <c r="D87" s="11" t="s">
        <v>17</v>
      </c>
      <c r="E87" s="11" t="s">
        <v>308</v>
      </c>
      <c r="F87" s="11">
        <v>27</v>
      </c>
      <c r="G87" s="11" t="s">
        <v>274</v>
      </c>
      <c r="H87" s="14" t="s">
        <v>4</v>
      </c>
      <c r="I87" s="15" t="s">
        <v>29</v>
      </c>
    </row>
    <row r="88" spans="1:9" ht="24" x14ac:dyDescent="0.2">
      <c r="A88" s="4" t="s">
        <v>14</v>
      </c>
      <c r="B88" s="4" t="s">
        <v>191</v>
      </c>
      <c r="C88" s="7" t="s">
        <v>283</v>
      </c>
      <c r="D88" s="5" t="s">
        <v>17</v>
      </c>
      <c r="E88" s="5" t="s">
        <v>308</v>
      </c>
      <c r="F88" s="5">
        <v>27</v>
      </c>
      <c r="G88" s="5" t="s">
        <v>274</v>
      </c>
      <c r="H88" s="8" t="s">
        <v>4</v>
      </c>
      <c r="I88" s="9" t="s">
        <v>29</v>
      </c>
    </row>
    <row r="89" spans="1:9" x14ac:dyDescent="0.2">
      <c r="A89" s="4" t="s">
        <v>280</v>
      </c>
      <c r="B89" s="4" t="s">
        <v>281</v>
      </c>
      <c r="C89" s="4" t="s">
        <v>282</v>
      </c>
      <c r="D89" s="5" t="s">
        <v>17</v>
      </c>
      <c r="E89" s="5" t="s">
        <v>308</v>
      </c>
      <c r="F89" s="5">
        <v>10</v>
      </c>
      <c r="G89" s="5" t="s">
        <v>266</v>
      </c>
      <c r="H89" s="6" t="s">
        <v>4</v>
      </c>
      <c r="I89" s="5" t="s">
        <v>21</v>
      </c>
    </row>
    <row r="90" spans="1:9" ht="24" x14ac:dyDescent="0.2">
      <c r="A90" s="4" t="s">
        <v>14</v>
      </c>
      <c r="B90" s="4" t="s">
        <v>183</v>
      </c>
      <c r="C90" s="7" t="s">
        <v>279</v>
      </c>
      <c r="D90" s="5" t="s">
        <v>17</v>
      </c>
      <c r="E90" s="5" t="s">
        <v>308</v>
      </c>
      <c r="F90" s="5">
        <v>16</v>
      </c>
      <c r="G90" s="5" t="s">
        <v>59</v>
      </c>
      <c r="H90" s="8" t="s">
        <v>4</v>
      </c>
      <c r="I90" s="9" t="s">
        <v>29</v>
      </c>
    </row>
    <row r="91" spans="1:9" x14ac:dyDescent="0.2">
      <c r="A91" s="4" t="s">
        <v>86</v>
      </c>
      <c r="B91" s="4" t="s">
        <v>260</v>
      </c>
      <c r="C91" s="4" t="s">
        <v>309</v>
      </c>
      <c r="D91" s="5" t="s">
        <v>17</v>
      </c>
      <c r="E91" s="5" t="s">
        <v>308</v>
      </c>
      <c r="F91" s="5">
        <v>6</v>
      </c>
      <c r="G91" s="5" t="s">
        <v>310</v>
      </c>
      <c r="H91" s="6" t="s">
        <v>4</v>
      </c>
      <c r="I91" s="5" t="s">
        <v>21</v>
      </c>
    </row>
    <row r="92" spans="1:9" ht="24" x14ac:dyDescent="0.2">
      <c r="A92" s="4" t="s">
        <v>86</v>
      </c>
      <c r="B92" s="4" t="s">
        <v>304</v>
      </c>
      <c r="C92" s="7" t="s">
        <v>24</v>
      </c>
      <c r="D92" s="5" t="s">
        <v>17</v>
      </c>
      <c r="E92" s="5" t="s">
        <v>308</v>
      </c>
      <c r="F92" s="5">
        <v>23</v>
      </c>
      <c r="G92" s="5" t="s">
        <v>107</v>
      </c>
      <c r="H92" s="8" t="s">
        <v>4</v>
      </c>
      <c r="I92" s="9" t="s">
        <v>29</v>
      </c>
    </row>
    <row r="93" spans="1:9" ht="24" x14ac:dyDescent="0.2">
      <c r="A93" s="4" t="s">
        <v>254</v>
      </c>
      <c r="B93" s="4" t="s">
        <v>255</v>
      </c>
      <c r="C93" s="4" t="s">
        <v>311</v>
      </c>
      <c r="D93" s="5" t="s">
        <v>17</v>
      </c>
      <c r="E93" s="5" t="s">
        <v>308</v>
      </c>
      <c r="F93" s="5">
        <v>16</v>
      </c>
      <c r="G93" s="5" t="s">
        <v>59</v>
      </c>
      <c r="H93" s="8" t="s">
        <v>4</v>
      </c>
      <c r="I93" s="9" t="s">
        <v>29</v>
      </c>
    </row>
    <row r="94" spans="1:9" ht="24" x14ac:dyDescent="0.2">
      <c r="A94" s="4" t="s">
        <v>134</v>
      </c>
      <c r="B94" s="4" t="s">
        <v>312</v>
      </c>
      <c r="C94" s="4" t="s">
        <v>311</v>
      </c>
      <c r="D94" s="5" t="s">
        <v>17</v>
      </c>
      <c r="E94" s="5" t="s">
        <v>308</v>
      </c>
      <c r="F94" s="5">
        <v>16</v>
      </c>
      <c r="G94" s="5" t="s">
        <v>59</v>
      </c>
      <c r="H94" s="8" t="s">
        <v>4</v>
      </c>
      <c r="I94" s="9" t="s">
        <v>29</v>
      </c>
    </row>
    <row r="95" spans="1:9" ht="36" x14ac:dyDescent="0.2">
      <c r="A95" s="4" t="s">
        <v>222</v>
      </c>
      <c r="B95" s="4" t="s">
        <v>275</v>
      </c>
      <c r="C95" s="7" t="s">
        <v>313</v>
      </c>
      <c r="D95" s="5" t="s">
        <v>17</v>
      </c>
      <c r="E95" s="5" t="s">
        <v>308</v>
      </c>
      <c r="F95" s="5">
        <v>38</v>
      </c>
      <c r="G95" s="5" t="s">
        <v>314</v>
      </c>
      <c r="H95" s="8" t="s">
        <v>4</v>
      </c>
      <c r="I95" s="9" t="s">
        <v>29</v>
      </c>
    </row>
    <row r="96" spans="1:9" x14ac:dyDescent="0.2">
      <c r="A96" s="4" t="s">
        <v>254</v>
      </c>
      <c r="B96" s="4" t="s">
        <v>315</v>
      </c>
      <c r="C96" s="4" t="s">
        <v>316</v>
      </c>
      <c r="D96" s="5" t="s">
        <v>17</v>
      </c>
      <c r="E96" s="5" t="s">
        <v>308</v>
      </c>
      <c r="F96" s="5">
        <v>9</v>
      </c>
      <c r="G96" s="5" t="s">
        <v>247</v>
      </c>
      <c r="H96" s="6" t="s">
        <v>4</v>
      </c>
      <c r="I96" s="5" t="s">
        <v>21</v>
      </c>
    </row>
    <row r="97" spans="1:9" x14ac:dyDescent="0.2">
      <c r="A97" s="4" t="s">
        <v>222</v>
      </c>
      <c r="B97" s="4" t="s">
        <v>271</v>
      </c>
      <c r="C97" s="4" t="s">
        <v>272</v>
      </c>
      <c r="D97" s="5" t="s">
        <v>17</v>
      </c>
      <c r="E97" s="5" t="s">
        <v>308</v>
      </c>
      <c r="F97" s="5">
        <v>17</v>
      </c>
      <c r="G97" s="5" t="s">
        <v>91</v>
      </c>
      <c r="H97" s="6" t="s">
        <v>4</v>
      </c>
      <c r="I97" s="5" t="s">
        <v>21</v>
      </c>
    </row>
    <row r="98" spans="1:9" x14ac:dyDescent="0.2">
      <c r="A98" s="4" t="s">
        <v>254</v>
      </c>
      <c r="B98" s="4" t="s">
        <v>255</v>
      </c>
      <c r="C98" s="4" t="s">
        <v>270</v>
      </c>
      <c r="D98" s="5" t="s">
        <v>17</v>
      </c>
      <c r="E98" s="5" t="s">
        <v>308</v>
      </c>
      <c r="F98" s="5">
        <v>13</v>
      </c>
      <c r="G98" s="5" t="s">
        <v>115</v>
      </c>
      <c r="H98" s="6" t="s">
        <v>4</v>
      </c>
      <c r="I98" s="5" t="s">
        <v>21</v>
      </c>
    </row>
    <row r="99" spans="1:9" x14ac:dyDescent="0.2">
      <c r="A99" s="4" t="s">
        <v>22</v>
      </c>
      <c r="B99" s="4" t="s">
        <v>317</v>
      </c>
      <c r="C99" s="4" t="s">
        <v>318</v>
      </c>
      <c r="D99" s="5" t="s">
        <v>17</v>
      </c>
      <c r="E99" s="5" t="s">
        <v>308</v>
      </c>
      <c r="F99" s="5">
        <v>6</v>
      </c>
      <c r="G99" s="5" t="s">
        <v>310</v>
      </c>
      <c r="H99" s="6" t="s">
        <v>4</v>
      </c>
      <c r="I99" s="5" t="s">
        <v>21</v>
      </c>
    </row>
    <row r="100" spans="1:9" ht="24" x14ac:dyDescent="0.2">
      <c r="A100" s="4" t="s">
        <v>267</v>
      </c>
      <c r="B100" s="4" t="s">
        <v>268</v>
      </c>
      <c r="C100" s="7" t="s">
        <v>269</v>
      </c>
      <c r="D100" s="5" t="s">
        <v>17</v>
      </c>
      <c r="E100" s="5" t="s">
        <v>308</v>
      </c>
      <c r="F100" s="5">
        <v>17</v>
      </c>
      <c r="G100" s="5" t="s">
        <v>91</v>
      </c>
      <c r="H100" s="8" t="s">
        <v>4</v>
      </c>
      <c r="I100" s="9" t="s">
        <v>29</v>
      </c>
    </row>
    <row r="101" spans="1:9" x14ac:dyDescent="0.2">
      <c r="A101" s="4" t="s">
        <v>254</v>
      </c>
      <c r="B101" s="4" t="s">
        <v>255</v>
      </c>
      <c r="C101" s="4" t="s">
        <v>265</v>
      </c>
      <c r="D101" s="5" t="s">
        <v>17</v>
      </c>
      <c r="E101" s="5" t="s">
        <v>308</v>
      </c>
      <c r="F101" s="5">
        <v>10</v>
      </c>
      <c r="G101" s="5" t="s">
        <v>266</v>
      </c>
      <c r="H101" s="6" t="s">
        <v>4</v>
      </c>
      <c r="I101" s="5" t="s">
        <v>21</v>
      </c>
    </row>
    <row r="102" spans="1:9" ht="36" x14ac:dyDescent="0.2">
      <c r="A102" s="4" t="s">
        <v>78</v>
      </c>
      <c r="B102" s="4" t="s">
        <v>95</v>
      </c>
      <c r="C102" s="7" t="s">
        <v>263</v>
      </c>
      <c r="D102" s="5" t="s">
        <v>17</v>
      </c>
      <c r="E102" s="5" t="s">
        <v>308</v>
      </c>
      <c r="F102" s="5">
        <v>49</v>
      </c>
      <c r="G102" s="5" t="s">
        <v>264</v>
      </c>
      <c r="H102" s="8" t="s">
        <v>4</v>
      </c>
      <c r="I102" s="9" t="s">
        <v>29</v>
      </c>
    </row>
    <row r="103" spans="1:9" x14ac:dyDescent="0.2">
      <c r="A103" s="4" t="s">
        <v>254</v>
      </c>
      <c r="B103" s="4" t="s">
        <v>315</v>
      </c>
      <c r="C103" s="4" t="s">
        <v>319</v>
      </c>
      <c r="D103" s="5" t="s">
        <v>17</v>
      </c>
      <c r="E103" s="5" t="s">
        <v>308</v>
      </c>
      <c r="F103" s="5">
        <v>16</v>
      </c>
      <c r="G103" s="5" t="s">
        <v>59</v>
      </c>
      <c r="H103" s="6" t="s">
        <v>4</v>
      </c>
      <c r="I103" s="5" t="s">
        <v>21</v>
      </c>
    </row>
    <row r="104" spans="1:9" ht="24" x14ac:dyDescent="0.2">
      <c r="A104" s="4" t="s">
        <v>222</v>
      </c>
      <c r="B104" s="4" t="s">
        <v>271</v>
      </c>
      <c r="C104" s="7" t="s">
        <v>253</v>
      </c>
      <c r="D104" s="5" t="s">
        <v>17</v>
      </c>
      <c r="E104" s="5" t="s">
        <v>308</v>
      </c>
      <c r="F104" s="5">
        <v>21</v>
      </c>
      <c r="G104" s="5" t="s">
        <v>131</v>
      </c>
      <c r="H104" s="8" t="s">
        <v>4</v>
      </c>
      <c r="I104" s="9" t="s">
        <v>29</v>
      </c>
    </row>
    <row r="105" spans="1:9" ht="24" x14ac:dyDescent="0.2">
      <c r="A105" s="4" t="s">
        <v>118</v>
      </c>
      <c r="B105" s="4" t="s">
        <v>119</v>
      </c>
      <c r="C105" s="7" t="s">
        <v>251</v>
      </c>
      <c r="D105" s="5" t="s">
        <v>17</v>
      </c>
      <c r="E105" s="5" t="s">
        <v>308</v>
      </c>
      <c r="F105" s="5">
        <v>24</v>
      </c>
      <c r="G105" s="5" t="s">
        <v>123</v>
      </c>
      <c r="H105" s="8" t="s">
        <v>4</v>
      </c>
      <c r="I105" s="9" t="s">
        <v>29</v>
      </c>
    </row>
    <row r="106" spans="1:9" ht="36" x14ac:dyDescent="0.2">
      <c r="A106" s="4" t="s">
        <v>54</v>
      </c>
      <c r="B106" s="4" t="s">
        <v>63</v>
      </c>
      <c r="C106" s="7" t="s">
        <v>249</v>
      </c>
      <c r="D106" s="5" t="s">
        <v>17</v>
      </c>
      <c r="E106" s="5" t="s">
        <v>308</v>
      </c>
      <c r="F106" s="5">
        <v>33</v>
      </c>
      <c r="G106" s="5" t="s">
        <v>250</v>
      </c>
      <c r="H106" s="8" t="s">
        <v>4</v>
      </c>
      <c r="I106" s="9" t="s">
        <v>29</v>
      </c>
    </row>
  </sheetData>
  <pageMargins left="0.75" right="0.75" top="1" bottom="1" header="0.5" footer="0.5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82F33-9637-8740-8B4A-173023DA205F}">
  <dimension ref="A1:G99"/>
  <sheetViews>
    <sheetView zoomScale="200" zoomScaleNormal="200" workbookViewId="0">
      <pane ySplit="1" topLeftCell="A2" activePane="bottomLeft" state="frozen"/>
      <selection pane="bottomLeft" activeCell="G1" sqref="G1:G1048576"/>
    </sheetView>
  </sheetViews>
  <sheetFormatPr baseColWidth="10"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320</v>
      </c>
      <c r="F1" t="s">
        <v>325</v>
      </c>
      <c r="G1" t="s">
        <v>326</v>
      </c>
    </row>
    <row r="2" spans="1:7" x14ac:dyDescent="0.2">
      <c r="A2" s="4" t="s">
        <v>14</v>
      </c>
      <c r="B2" s="4" t="s">
        <v>15</v>
      </c>
      <c r="C2" s="4" t="s">
        <v>16</v>
      </c>
      <c r="D2" t="s">
        <v>321</v>
      </c>
      <c r="E2" t="s">
        <v>324</v>
      </c>
      <c r="F2">
        <v>1</v>
      </c>
      <c r="G2" t="str">
        <f>SUBSTITUTE(A2," ","") &amp; "_" &amp; SUBSTITUTE(B2," ","")</f>
        <v>Tiposdefuente_Basededatosacadémicos</v>
      </c>
    </row>
    <row r="3" spans="1:7" ht="108" x14ac:dyDescent="0.2">
      <c r="A3" s="4" t="s">
        <v>22</v>
      </c>
      <c r="B3" s="4" t="s">
        <v>23</v>
      </c>
      <c r="C3" s="7" t="s">
        <v>24</v>
      </c>
      <c r="D3" t="s">
        <v>321</v>
      </c>
      <c r="E3" t="s">
        <v>324</v>
      </c>
      <c r="F3">
        <v>1</v>
      </c>
      <c r="G3" t="str">
        <f t="shared" ref="G3:G66" si="0">SUBSTITUTE(A3," ","") &amp; "_" &amp; SUBSTITUTE(B3," ","")</f>
        <v>Altaconfiabilidad_Reputacióndelafuente</v>
      </c>
    </row>
    <row r="4" spans="1:7" ht="192" x14ac:dyDescent="0.2">
      <c r="A4" s="4" t="s">
        <v>22</v>
      </c>
      <c r="B4" s="4" t="s">
        <v>31</v>
      </c>
      <c r="C4" s="7" t="s">
        <v>32</v>
      </c>
      <c r="D4" t="s">
        <v>321</v>
      </c>
      <c r="E4" t="s">
        <v>324</v>
      </c>
      <c r="F4">
        <v>1</v>
      </c>
      <c r="G4" t="str">
        <f t="shared" si="0"/>
        <v>Altaconfiabilidad_Procedenciadelainfo</v>
      </c>
    </row>
    <row r="5" spans="1:7" x14ac:dyDescent="0.2">
      <c r="A5" s="4" t="s">
        <v>14</v>
      </c>
      <c r="B5" s="4" t="s">
        <v>39</v>
      </c>
      <c r="C5" s="4" t="s">
        <v>40</v>
      </c>
      <c r="D5" t="s">
        <v>321</v>
      </c>
      <c r="E5" t="s">
        <v>324</v>
      </c>
      <c r="F5">
        <v>13</v>
      </c>
      <c r="G5" t="str">
        <f t="shared" si="0"/>
        <v>Tiposdefuente_Sitiosgubernamentales</v>
      </c>
    </row>
    <row r="6" spans="1:7" ht="120" x14ac:dyDescent="0.2">
      <c r="A6" s="4" t="s">
        <v>22</v>
      </c>
      <c r="B6" s="4" t="s">
        <v>23</v>
      </c>
      <c r="C6" s="7" t="s">
        <v>48</v>
      </c>
      <c r="D6" t="s">
        <v>321</v>
      </c>
      <c r="E6" t="s">
        <v>324</v>
      </c>
      <c r="F6">
        <v>14</v>
      </c>
      <c r="G6" t="str">
        <f t="shared" si="0"/>
        <v>Altaconfiabilidad_Reputacióndelafuente</v>
      </c>
    </row>
    <row r="7" spans="1:7" ht="96" x14ac:dyDescent="0.2">
      <c r="A7" s="4" t="s">
        <v>54</v>
      </c>
      <c r="B7" s="4" t="s">
        <v>55</v>
      </c>
      <c r="C7" s="7" t="s">
        <v>56</v>
      </c>
      <c r="D7" t="s">
        <v>321</v>
      </c>
      <c r="E7" t="s">
        <v>324</v>
      </c>
      <c r="F7">
        <v>17</v>
      </c>
      <c r="G7" t="str">
        <f t="shared" si="0"/>
        <v>Utilidaddefuentesespecializadas_Rectificaciónterminológica</v>
      </c>
    </row>
    <row r="8" spans="1:7" ht="108" x14ac:dyDescent="0.2">
      <c r="A8" s="4" t="s">
        <v>54</v>
      </c>
      <c r="B8" s="4" t="s">
        <v>63</v>
      </c>
      <c r="C8" s="7" t="s">
        <v>64</v>
      </c>
      <c r="D8" t="s">
        <v>321</v>
      </c>
      <c r="E8" t="s">
        <v>324</v>
      </c>
      <c r="F8">
        <v>18</v>
      </c>
      <c r="G8" t="str">
        <f t="shared" si="0"/>
        <v>Utilidaddefuentesespecializadas_Verificaciónterminológica</v>
      </c>
    </row>
    <row r="9" spans="1:7" ht="168" x14ac:dyDescent="0.2">
      <c r="A9" s="4" t="s">
        <v>70</v>
      </c>
      <c r="B9" s="4" t="s">
        <v>71</v>
      </c>
      <c r="C9" s="7" t="s">
        <v>72</v>
      </c>
      <c r="D9" t="s">
        <v>321</v>
      </c>
      <c r="E9" t="s">
        <v>324</v>
      </c>
      <c r="F9">
        <v>19</v>
      </c>
      <c r="G9" t="str">
        <f t="shared" si="0"/>
        <v>Percepcióndelproceso_Organizado</v>
      </c>
    </row>
    <row r="10" spans="1:7" ht="96" x14ac:dyDescent="0.2">
      <c r="A10" s="4" t="s">
        <v>78</v>
      </c>
      <c r="B10" s="4" t="s">
        <v>79</v>
      </c>
      <c r="C10" s="7" t="s">
        <v>80</v>
      </c>
      <c r="D10" t="s">
        <v>321</v>
      </c>
      <c r="E10" t="s">
        <v>324</v>
      </c>
      <c r="F10">
        <v>19</v>
      </c>
      <c r="G10" t="str">
        <f t="shared" si="0"/>
        <v>Organizacióndebúsquedadeinfo_Paralelo</v>
      </c>
    </row>
    <row r="11" spans="1:7" x14ac:dyDescent="0.2">
      <c r="A11" s="4" t="s">
        <v>86</v>
      </c>
      <c r="B11" s="4" t="s">
        <v>87</v>
      </c>
      <c r="C11" s="4" t="s">
        <v>88</v>
      </c>
      <c r="D11" t="s">
        <v>321</v>
      </c>
      <c r="E11" t="s">
        <v>324</v>
      </c>
      <c r="F11">
        <v>20</v>
      </c>
      <c r="G11" t="str">
        <f t="shared" si="0"/>
        <v>Etapasdelprocesodedocumentación_Documentacióntemática</v>
      </c>
    </row>
    <row r="12" spans="1:7" ht="144" x14ac:dyDescent="0.2">
      <c r="A12" s="4" t="s">
        <v>78</v>
      </c>
      <c r="B12" s="4" t="s">
        <v>95</v>
      </c>
      <c r="C12" s="7" t="s">
        <v>96</v>
      </c>
      <c r="D12" t="s">
        <v>321</v>
      </c>
      <c r="E12" t="s">
        <v>324</v>
      </c>
      <c r="F12">
        <v>20</v>
      </c>
      <c r="G12" t="str">
        <f t="shared" si="0"/>
        <v>Organizacióndebúsquedadeinfo_Secuencial</v>
      </c>
    </row>
    <row r="13" spans="1:7" ht="108" x14ac:dyDescent="0.2">
      <c r="A13" s="4" t="s">
        <v>86</v>
      </c>
      <c r="B13" s="4" t="s">
        <v>103</v>
      </c>
      <c r="C13" s="7" t="s">
        <v>104</v>
      </c>
      <c r="D13" t="s">
        <v>321</v>
      </c>
      <c r="E13" t="s">
        <v>324</v>
      </c>
      <c r="F13">
        <v>20</v>
      </c>
      <c r="G13" t="str">
        <f t="shared" si="0"/>
        <v>Etapasdelprocesodedocumentación_Búsquedadetérminos</v>
      </c>
    </row>
    <row r="14" spans="1:7" x14ac:dyDescent="0.2">
      <c r="A14" s="4" t="s">
        <v>86</v>
      </c>
      <c r="B14" s="4" t="s">
        <v>111</v>
      </c>
      <c r="C14" s="4" t="s">
        <v>112</v>
      </c>
      <c r="D14" t="s">
        <v>321</v>
      </c>
      <c r="E14" t="s">
        <v>324</v>
      </c>
      <c r="F14">
        <v>20</v>
      </c>
      <c r="G14" t="str">
        <f t="shared" si="0"/>
        <v>Etapasdelprocesodedocumentación_Identificarposiblesproblemas</v>
      </c>
    </row>
    <row r="15" spans="1:7" ht="120" x14ac:dyDescent="0.2">
      <c r="A15" s="4" t="s">
        <v>118</v>
      </c>
      <c r="B15" s="4" t="s">
        <v>119</v>
      </c>
      <c r="C15" s="7" t="s">
        <v>120</v>
      </c>
      <c r="D15" t="s">
        <v>321</v>
      </c>
      <c r="E15" t="s">
        <v>324</v>
      </c>
      <c r="F15">
        <v>21</v>
      </c>
      <c r="G15" t="str">
        <f t="shared" si="0"/>
        <v>Valoracióndeladocumentación_Positiva</v>
      </c>
    </row>
    <row r="16" spans="1:7" ht="132" x14ac:dyDescent="0.2">
      <c r="A16" s="4" t="s">
        <v>54</v>
      </c>
      <c r="B16" s="4" t="s">
        <v>127</v>
      </c>
      <c r="C16" s="7" t="s">
        <v>128</v>
      </c>
      <c r="D16" t="s">
        <v>321</v>
      </c>
      <c r="E16" t="s">
        <v>324</v>
      </c>
      <c r="F16">
        <v>22</v>
      </c>
      <c r="G16" t="str">
        <f t="shared" si="0"/>
        <v>Utilidaddefuentesespecializadas_Adecuaciónterminológica</v>
      </c>
    </row>
    <row r="17" spans="1:7" ht="120" x14ac:dyDescent="0.2">
      <c r="A17" s="4" t="s">
        <v>134</v>
      </c>
      <c r="B17" s="4" t="s">
        <v>135</v>
      </c>
      <c r="C17" s="7" t="s">
        <v>136</v>
      </c>
      <c r="D17" t="s">
        <v>321</v>
      </c>
      <c r="E17" t="s">
        <v>324</v>
      </c>
      <c r="F17">
        <v>1</v>
      </c>
      <c r="G17" t="str">
        <f t="shared" si="0"/>
        <v>Búsquedaprevia-inicial_Búsquedaterminológica</v>
      </c>
    </row>
    <row r="18" spans="1:7" x14ac:dyDescent="0.2">
      <c r="A18" s="4" t="s">
        <v>134</v>
      </c>
      <c r="B18" s="4" t="s">
        <v>143</v>
      </c>
      <c r="C18" s="4" t="s">
        <v>144</v>
      </c>
      <c r="D18" t="s">
        <v>321</v>
      </c>
      <c r="E18" t="s">
        <v>324</v>
      </c>
      <c r="F18">
        <v>1</v>
      </c>
      <c r="G18" t="str">
        <f t="shared" si="0"/>
        <v>Búsquedaprevia-inicial_Búsquedatemática</v>
      </c>
    </row>
    <row r="19" spans="1:7" x14ac:dyDescent="0.2">
      <c r="A19" s="4" t="s">
        <v>54</v>
      </c>
      <c r="B19" s="4" t="s">
        <v>151</v>
      </c>
      <c r="C19" s="4" t="s">
        <v>152</v>
      </c>
      <c r="D19" t="s">
        <v>321</v>
      </c>
      <c r="E19" t="s">
        <v>324</v>
      </c>
      <c r="F19">
        <v>2</v>
      </c>
      <c r="G19" t="str">
        <f t="shared" si="0"/>
        <v>Utilidaddefuentesespecializadas_Comprensióntextual</v>
      </c>
    </row>
    <row r="20" spans="1:7" x14ac:dyDescent="0.2">
      <c r="A20" s="4" t="s">
        <v>14</v>
      </c>
      <c r="B20" s="4" t="s">
        <v>159</v>
      </c>
      <c r="C20" s="4" t="s">
        <v>160</v>
      </c>
      <c r="D20" t="s">
        <v>321</v>
      </c>
      <c r="E20" t="s">
        <v>324</v>
      </c>
      <c r="F20">
        <v>3</v>
      </c>
      <c r="G20" t="str">
        <f t="shared" si="0"/>
        <v>Tiposdefuente_Diccionariogeneral</v>
      </c>
    </row>
    <row r="21" spans="1:7" x14ac:dyDescent="0.2">
      <c r="A21" s="4" t="s">
        <v>134</v>
      </c>
      <c r="B21" s="4" t="s">
        <v>135</v>
      </c>
      <c r="C21" s="4" t="s">
        <v>168</v>
      </c>
      <c r="D21" t="s">
        <v>321</v>
      </c>
      <c r="E21" t="s">
        <v>324</v>
      </c>
      <c r="F21">
        <v>3</v>
      </c>
      <c r="G21" t="str">
        <f t="shared" si="0"/>
        <v>Búsquedaprevia-inicial_Búsquedaterminológica</v>
      </c>
    </row>
    <row r="22" spans="1:7" ht="132" x14ac:dyDescent="0.2">
      <c r="A22" s="4" t="s">
        <v>174</v>
      </c>
      <c r="B22" s="4" t="s">
        <v>175</v>
      </c>
      <c r="C22" s="7" t="s">
        <v>176</v>
      </c>
      <c r="D22" t="s">
        <v>321</v>
      </c>
      <c r="E22" t="s">
        <v>324</v>
      </c>
      <c r="F22">
        <v>3</v>
      </c>
      <c r="G22" t="str">
        <f t="shared" si="0"/>
        <v>Documentaciónterminológica_Revisióndelequivalente</v>
      </c>
    </row>
    <row r="23" spans="1:7" x14ac:dyDescent="0.2">
      <c r="A23" s="4" t="s">
        <v>14</v>
      </c>
      <c r="B23" s="4" t="s">
        <v>183</v>
      </c>
      <c r="C23" s="4" t="s">
        <v>184</v>
      </c>
      <c r="D23" t="s">
        <v>321</v>
      </c>
      <c r="E23" t="s">
        <v>324</v>
      </c>
      <c r="F23">
        <v>5</v>
      </c>
      <c r="G23" t="str">
        <f t="shared" si="0"/>
        <v>Tiposdefuente_Glosarios</v>
      </c>
    </row>
    <row r="24" spans="1:7" x14ac:dyDescent="0.2">
      <c r="A24" s="4" t="s">
        <v>14</v>
      </c>
      <c r="B24" s="4" t="s">
        <v>191</v>
      </c>
      <c r="C24" s="4" t="s">
        <v>192</v>
      </c>
      <c r="D24" t="s">
        <v>321</v>
      </c>
      <c r="E24" t="s">
        <v>324</v>
      </c>
      <c r="F24">
        <v>5</v>
      </c>
      <c r="G24" t="str">
        <f t="shared" si="0"/>
        <v>Tiposdefuente_Génerossimilares</v>
      </c>
    </row>
    <row r="25" spans="1:7" x14ac:dyDescent="0.2">
      <c r="A25" s="4" t="s">
        <v>14</v>
      </c>
      <c r="B25" s="4" t="s">
        <v>15</v>
      </c>
      <c r="C25" s="4" t="s">
        <v>200</v>
      </c>
      <c r="D25" t="s">
        <v>321</v>
      </c>
      <c r="E25" t="s">
        <v>324</v>
      </c>
      <c r="F25">
        <v>6</v>
      </c>
      <c r="G25" t="str">
        <f t="shared" si="0"/>
        <v>Tiposdefuente_Basededatosacadémicos</v>
      </c>
    </row>
    <row r="26" spans="1:7" x14ac:dyDescent="0.2">
      <c r="A26" s="4" t="s">
        <v>54</v>
      </c>
      <c r="B26" s="4" t="s">
        <v>151</v>
      </c>
      <c r="C26" s="4" t="s">
        <v>208</v>
      </c>
      <c r="D26" t="s">
        <v>321</v>
      </c>
      <c r="E26" t="s">
        <v>324</v>
      </c>
      <c r="F26">
        <v>7</v>
      </c>
      <c r="G26" t="str">
        <f t="shared" si="0"/>
        <v>Utilidaddefuentesespecializadas_Comprensióntextual</v>
      </c>
    </row>
    <row r="27" spans="1:7" x14ac:dyDescent="0.2">
      <c r="A27" s="4" t="s">
        <v>14</v>
      </c>
      <c r="B27" s="4" t="s">
        <v>191</v>
      </c>
      <c r="C27" s="4" t="s">
        <v>208</v>
      </c>
      <c r="D27" t="s">
        <v>321</v>
      </c>
      <c r="E27" t="s">
        <v>324</v>
      </c>
      <c r="F27">
        <v>7</v>
      </c>
      <c r="G27" t="str">
        <f t="shared" si="0"/>
        <v>Tiposdefuente_Génerossimilares</v>
      </c>
    </row>
    <row r="28" spans="1:7" ht="96" x14ac:dyDescent="0.2">
      <c r="A28" s="4" t="s">
        <v>222</v>
      </c>
      <c r="B28" s="4" t="s">
        <v>223</v>
      </c>
      <c r="C28" s="7" t="s">
        <v>224</v>
      </c>
      <c r="D28" t="s">
        <v>321</v>
      </c>
      <c r="E28" t="s">
        <v>324</v>
      </c>
      <c r="F28">
        <v>9</v>
      </c>
      <c r="G28" t="str">
        <f t="shared" si="0"/>
        <v>Noregistro_Limitacióntemporal</v>
      </c>
    </row>
    <row r="29" spans="1:7" x14ac:dyDescent="0.2">
      <c r="A29" s="4" t="s">
        <v>230</v>
      </c>
      <c r="B29" s="4" t="s">
        <v>231</v>
      </c>
      <c r="C29" s="4" t="s">
        <v>232</v>
      </c>
      <c r="D29" t="s">
        <v>321</v>
      </c>
      <c r="E29" t="s">
        <v>324</v>
      </c>
      <c r="F29">
        <v>10</v>
      </c>
      <c r="G29" t="str">
        <f t="shared" si="0"/>
        <v>Registrodeinformación_Elaboracióndeglosarios</v>
      </c>
    </row>
    <row r="30" spans="1:7" x14ac:dyDescent="0.2">
      <c r="A30" s="10" t="s">
        <v>238</v>
      </c>
      <c r="B30" s="10" t="s">
        <v>239</v>
      </c>
      <c r="C30" s="10" t="s">
        <v>232</v>
      </c>
      <c r="D30" t="s">
        <v>321</v>
      </c>
      <c r="E30" t="s">
        <v>324</v>
      </c>
      <c r="F30">
        <v>10</v>
      </c>
      <c r="G30" t="str">
        <f t="shared" si="0"/>
        <v>Registro_Desconocimientodelainfo</v>
      </c>
    </row>
    <row r="31" spans="1:7" x14ac:dyDescent="0.2">
      <c r="A31" s="4" t="s">
        <v>230</v>
      </c>
      <c r="B31" s="4" t="s">
        <v>231</v>
      </c>
      <c r="C31" s="4" t="s">
        <v>246</v>
      </c>
      <c r="D31" t="s">
        <v>321</v>
      </c>
      <c r="E31" t="s">
        <v>324</v>
      </c>
      <c r="F31">
        <v>11</v>
      </c>
      <c r="G31" t="str">
        <f t="shared" si="0"/>
        <v>Registrodeinformación_Elaboracióndeglosarios</v>
      </c>
    </row>
    <row r="32" spans="1:7" ht="180" x14ac:dyDescent="0.2">
      <c r="A32" s="4" t="s">
        <v>54</v>
      </c>
      <c r="B32" s="4" t="s">
        <v>63</v>
      </c>
      <c r="C32" s="7" t="s">
        <v>249</v>
      </c>
      <c r="D32" t="s">
        <v>321</v>
      </c>
      <c r="E32" t="s">
        <v>322</v>
      </c>
      <c r="F32">
        <v>20</v>
      </c>
      <c r="G32" t="str">
        <f t="shared" si="0"/>
        <v>Utilidaddefuentesespecializadas_Verificaciónterminológica</v>
      </c>
    </row>
    <row r="33" spans="1:7" ht="96" x14ac:dyDescent="0.2">
      <c r="A33" s="4" t="s">
        <v>70</v>
      </c>
      <c r="B33" s="4" t="s">
        <v>252</v>
      </c>
      <c r="C33" s="7" t="s">
        <v>253</v>
      </c>
      <c r="D33" t="s">
        <v>321</v>
      </c>
      <c r="E33" t="s">
        <v>322</v>
      </c>
      <c r="F33">
        <v>18</v>
      </c>
      <c r="G33" t="str">
        <f t="shared" si="0"/>
        <v>Percepcióndelproceso_Desorganizado</v>
      </c>
    </row>
    <row r="34" spans="1:7" ht="96" x14ac:dyDescent="0.2">
      <c r="A34" s="4" t="s">
        <v>254</v>
      </c>
      <c r="B34" s="4" t="s">
        <v>255</v>
      </c>
      <c r="C34" s="7" t="s">
        <v>256</v>
      </c>
      <c r="D34" t="s">
        <v>321</v>
      </c>
      <c r="E34" t="s">
        <v>322</v>
      </c>
      <c r="F34">
        <v>17</v>
      </c>
      <c r="G34" t="str">
        <f t="shared" si="0"/>
        <v>Limitacionesdedocumentación_Temporal</v>
      </c>
    </row>
    <row r="35" spans="1:7" x14ac:dyDescent="0.2">
      <c r="A35" s="4" t="s">
        <v>78</v>
      </c>
      <c r="B35" s="4" t="s">
        <v>79</v>
      </c>
      <c r="C35" s="4" t="s">
        <v>257</v>
      </c>
      <c r="D35" t="s">
        <v>321</v>
      </c>
      <c r="E35" t="s">
        <v>322</v>
      </c>
      <c r="F35">
        <v>16</v>
      </c>
      <c r="G35" t="str">
        <f t="shared" si="0"/>
        <v>Organizacióndebúsquedadeinfo_Paralelo</v>
      </c>
    </row>
    <row r="36" spans="1:7" ht="108" x14ac:dyDescent="0.2">
      <c r="A36" s="4" t="s">
        <v>86</v>
      </c>
      <c r="B36" s="4" t="s">
        <v>103</v>
      </c>
      <c r="C36" s="7" t="s">
        <v>258</v>
      </c>
      <c r="D36" t="s">
        <v>321</v>
      </c>
      <c r="E36" t="s">
        <v>322</v>
      </c>
      <c r="F36">
        <v>16</v>
      </c>
      <c r="G36" t="str">
        <f t="shared" si="0"/>
        <v>Etapasdelprocesodedocumentación_Búsquedadetérminos</v>
      </c>
    </row>
    <row r="37" spans="1:7" x14ac:dyDescent="0.2">
      <c r="A37" s="4" t="s">
        <v>86</v>
      </c>
      <c r="B37" s="4" t="s">
        <v>111</v>
      </c>
      <c r="C37" s="4" t="s">
        <v>259</v>
      </c>
      <c r="D37" t="s">
        <v>321</v>
      </c>
      <c r="E37" t="s">
        <v>322</v>
      </c>
      <c r="F37">
        <v>16</v>
      </c>
      <c r="G37" t="str">
        <f t="shared" si="0"/>
        <v>Etapasdelprocesodedocumentación_Identificarposiblesproblemas</v>
      </c>
    </row>
    <row r="38" spans="1:7" x14ac:dyDescent="0.2">
      <c r="A38" s="4" t="s">
        <v>86</v>
      </c>
      <c r="B38" s="4" t="s">
        <v>260</v>
      </c>
      <c r="C38" s="4" t="s">
        <v>261</v>
      </c>
      <c r="D38" t="s">
        <v>321</v>
      </c>
      <c r="E38" t="s">
        <v>322</v>
      </c>
      <c r="F38">
        <v>16</v>
      </c>
      <c r="G38" t="str">
        <f t="shared" si="0"/>
        <v>Etapasdelprocesodedocumentación_Lecturapreviadeltexto</v>
      </c>
    </row>
    <row r="39" spans="1:7" ht="144" x14ac:dyDescent="0.2">
      <c r="A39" s="4" t="s">
        <v>78</v>
      </c>
      <c r="B39" s="4" t="s">
        <v>95</v>
      </c>
      <c r="C39" s="7" t="s">
        <v>262</v>
      </c>
      <c r="D39" t="s">
        <v>321</v>
      </c>
      <c r="E39" t="s">
        <v>322</v>
      </c>
      <c r="F39">
        <v>16</v>
      </c>
      <c r="G39" t="str">
        <f t="shared" si="0"/>
        <v>Organizacióndebúsquedadeinfo_Secuencial</v>
      </c>
    </row>
    <row r="40" spans="1:7" ht="204" x14ac:dyDescent="0.2">
      <c r="A40" s="4" t="s">
        <v>70</v>
      </c>
      <c r="B40" s="4" t="s">
        <v>252</v>
      </c>
      <c r="C40" s="7" t="s">
        <v>263</v>
      </c>
      <c r="D40" t="s">
        <v>321</v>
      </c>
      <c r="E40" t="s">
        <v>322</v>
      </c>
      <c r="F40">
        <v>16</v>
      </c>
      <c r="G40" t="str">
        <f t="shared" si="0"/>
        <v>Percepcióndelproceso_Desorganizado</v>
      </c>
    </row>
    <row r="41" spans="1:7" x14ac:dyDescent="0.2">
      <c r="A41" s="4" t="s">
        <v>254</v>
      </c>
      <c r="B41" s="4" t="s">
        <v>255</v>
      </c>
      <c r="C41" s="4" t="s">
        <v>265</v>
      </c>
      <c r="D41" t="s">
        <v>321</v>
      </c>
      <c r="E41" t="s">
        <v>322</v>
      </c>
      <c r="F41">
        <v>14</v>
      </c>
      <c r="G41" t="str">
        <f t="shared" si="0"/>
        <v>Limitacionesdedocumentación_Temporal</v>
      </c>
    </row>
    <row r="42" spans="1:7" ht="108" x14ac:dyDescent="0.2">
      <c r="A42" s="4" t="s">
        <v>267</v>
      </c>
      <c r="B42" s="4" t="s">
        <v>268</v>
      </c>
      <c r="C42" s="7" t="s">
        <v>269</v>
      </c>
      <c r="D42" t="s">
        <v>321</v>
      </c>
      <c r="E42" t="s">
        <v>322</v>
      </c>
      <c r="F42">
        <v>13</v>
      </c>
      <c r="G42" t="str">
        <f t="shared" si="0"/>
        <v>Bajaconfiabilidad_Elecciónintuitiva</v>
      </c>
    </row>
    <row r="43" spans="1:7" x14ac:dyDescent="0.2">
      <c r="A43" s="4" t="s">
        <v>254</v>
      </c>
      <c r="B43" s="4" t="s">
        <v>255</v>
      </c>
      <c r="C43" s="4" t="s">
        <v>270</v>
      </c>
      <c r="D43" t="s">
        <v>321</v>
      </c>
      <c r="E43" t="s">
        <v>322</v>
      </c>
      <c r="F43">
        <v>1</v>
      </c>
      <c r="G43" t="str">
        <f t="shared" si="0"/>
        <v>Limitacionesdedocumentación_Temporal</v>
      </c>
    </row>
    <row r="44" spans="1:7" x14ac:dyDescent="0.2">
      <c r="A44" s="4" t="s">
        <v>222</v>
      </c>
      <c r="B44" s="4" t="s">
        <v>271</v>
      </c>
      <c r="C44" s="4" t="s">
        <v>272</v>
      </c>
      <c r="D44" t="s">
        <v>321</v>
      </c>
      <c r="E44" t="s">
        <v>322</v>
      </c>
      <c r="F44">
        <v>9</v>
      </c>
      <c r="G44" t="str">
        <f t="shared" si="0"/>
        <v>Noregistro_Faltadehábito</v>
      </c>
    </row>
    <row r="45" spans="1:7" x14ac:dyDescent="0.2">
      <c r="A45" s="4" t="s">
        <v>222</v>
      </c>
      <c r="B45" s="4" t="s">
        <v>271</v>
      </c>
      <c r="C45" s="4" t="s">
        <v>276</v>
      </c>
      <c r="D45" t="s">
        <v>321</v>
      </c>
      <c r="E45" t="s">
        <v>322</v>
      </c>
      <c r="F45">
        <v>7</v>
      </c>
      <c r="G45" t="str">
        <f t="shared" si="0"/>
        <v>Noregistro_Faltadehábito</v>
      </c>
    </row>
    <row r="46" spans="1:7" ht="120" x14ac:dyDescent="0.2">
      <c r="A46" s="4" t="s">
        <v>86</v>
      </c>
      <c r="B46" s="4" t="s">
        <v>260</v>
      </c>
      <c r="C46" s="7" t="s">
        <v>277</v>
      </c>
      <c r="D46" t="s">
        <v>321</v>
      </c>
      <c r="E46" t="s">
        <v>322</v>
      </c>
      <c r="F46">
        <v>1</v>
      </c>
      <c r="G46" t="str">
        <f t="shared" si="0"/>
        <v>Etapasdelprocesodedocumentación_Lecturapreviadeltexto</v>
      </c>
    </row>
    <row r="47" spans="1:7" ht="120" x14ac:dyDescent="0.2">
      <c r="A47" s="4" t="s">
        <v>86</v>
      </c>
      <c r="B47" s="4" t="s">
        <v>103</v>
      </c>
      <c r="C47" s="7" t="s">
        <v>277</v>
      </c>
      <c r="D47" t="s">
        <v>321</v>
      </c>
      <c r="E47" t="s">
        <v>322</v>
      </c>
      <c r="F47">
        <v>1</v>
      </c>
      <c r="G47" t="str">
        <f t="shared" si="0"/>
        <v>Etapasdelprocesodedocumentación_Búsquedadetérminos</v>
      </c>
    </row>
    <row r="48" spans="1:7" ht="120" x14ac:dyDescent="0.2">
      <c r="A48" s="4" t="s">
        <v>86</v>
      </c>
      <c r="B48" s="4" t="s">
        <v>111</v>
      </c>
      <c r="C48" s="7" t="s">
        <v>277</v>
      </c>
      <c r="D48" t="s">
        <v>321</v>
      </c>
      <c r="E48" t="s">
        <v>322</v>
      </c>
      <c r="F48">
        <v>1</v>
      </c>
      <c r="G48" t="str">
        <f t="shared" si="0"/>
        <v>Etapasdelprocesodedocumentación_Identificarposiblesproblemas</v>
      </c>
    </row>
    <row r="49" spans="1:7" ht="84" x14ac:dyDescent="0.2">
      <c r="A49" s="4" t="s">
        <v>134</v>
      </c>
      <c r="B49" s="4" t="s">
        <v>135</v>
      </c>
      <c r="C49" s="7" t="s">
        <v>278</v>
      </c>
      <c r="D49" t="s">
        <v>321</v>
      </c>
      <c r="E49" t="s">
        <v>322</v>
      </c>
      <c r="F49">
        <v>1</v>
      </c>
      <c r="G49" t="str">
        <f t="shared" si="0"/>
        <v>Búsquedaprevia-inicial_Búsquedaterminológica</v>
      </c>
    </row>
    <row r="50" spans="1:7" ht="108" x14ac:dyDescent="0.2">
      <c r="A50" s="4" t="s">
        <v>14</v>
      </c>
      <c r="B50" s="4" t="s">
        <v>183</v>
      </c>
      <c r="C50" s="7" t="s">
        <v>279</v>
      </c>
      <c r="D50" t="s">
        <v>321</v>
      </c>
      <c r="E50" t="s">
        <v>322</v>
      </c>
      <c r="F50">
        <v>3</v>
      </c>
      <c r="G50" t="str">
        <f t="shared" si="0"/>
        <v>Tiposdefuente_Glosarios</v>
      </c>
    </row>
    <row r="51" spans="1:7" x14ac:dyDescent="0.2">
      <c r="A51" s="4" t="s">
        <v>280</v>
      </c>
      <c r="B51" s="4" t="s">
        <v>281</v>
      </c>
      <c r="C51" s="4" t="s">
        <v>282</v>
      </c>
      <c r="D51" t="s">
        <v>321</v>
      </c>
      <c r="E51" t="s">
        <v>322</v>
      </c>
      <c r="F51">
        <v>4</v>
      </c>
      <c r="G51" t="str">
        <f t="shared" si="0"/>
        <v>Estrategiasdebúsquedadeinformación_Operadoresbooleanos</v>
      </c>
    </row>
    <row r="52" spans="1:7" ht="132" x14ac:dyDescent="0.2">
      <c r="A52" s="4" t="s">
        <v>14</v>
      </c>
      <c r="B52" s="4" t="s">
        <v>191</v>
      </c>
      <c r="C52" s="7" t="s">
        <v>283</v>
      </c>
      <c r="D52" t="s">
        <v>321</v>
      </c>
      <c r="E52" t="s">
        <v>322</v>
      </c>
      <c r="F52">
        <v>6</v>
      </c>
      <c r="G52" t="str">
        <f t="shared" si="0"/>
        <v>Tiposdefuente_Génerossimilares</v>
      </c>
    </row>
    <row r="53" spans="1:7" x14ac:dyDescent="0.2">
      <c r="A53" s="4" t="s">
        <v>54</v>
      </c>
      <c r="B53" s="4" t="s">
        <v>284</v>
      </c>
      <c r="C53" s="4" t="s">
        <v>285</v>
      </c>
      <c r="D53" t="s">
        <v>321</v>
      </c>
      <c r="E53" t="s">
        <v>322</v>
      </c>
      <c r="F53">
        <v>6</v>
      </c>
      <c r="G53" t="str">
        <f t="shared" si="0"/>
        <v>Utilidaddefuentesespecializadas_Comprensiónterminológica</v>
      </c>
    </row>
    <row r="54" spans="1:7" x14ac:dyDescent="0.2">
      <c r="A54" s="4" t="s">
        <v>238</v>
      </c>
      <c r="B54" s="4" t="s">
        <v>239</v>
      </c>
      <c r="C54" s="4" t="s">
        <v>287</v>
      </c>
      <c r="D54" t="s">
        <v>323</v>
      </c>
      <c r="E54" t="s">
        <v>324</v>
      </c>
      <c r="F54">
        <v>10</v>
      </c>
      <c r="G54" t="str">
        <f t="shared" si="0"/>
        <v>Registro_Desconocimientodelainfo</v>
      </c>
    </row>
    <row r="55" spans="1:7" x14ac:dyDescent="0.2">
      <c r="A55" s="4" t="s">
        <v>230</v>
      </c>
      <c r="B55" s="4" t="s">
        <v>231</v>
      </c>
      <c r="C55" s="4" t="s">
        <v>287</v>
      </c>
      <c r="D55" t="s">
        <v>323</v>
      </c>
      <c r="E55" t="s">
        <v>324</v>
      </c>
      <c r="F55">
        <v>10</v>
      </c>
      <c r="G55" t="str">
        <f t="shared" si="0"/>
        <v>Registrodeinformación_Elaboracióndeglosarios</v>
      </c>
    </row>
    <row r="56" spans="1:7" ht="108" x14ac:dyDescent="0.2">
      <c r="A56" s="4" t="s">
        <v>230</v>
      </c>
      <c r="B56" s="4" t="s">
        <v>231</v>
      </c>
      <c r="C56" s="7" t="s">
        <v>24</v>
      </c>
      <c r="D56" t="s">
        <v>323</v>
      </c>
      <c r="E56" t="s">
        <v>324</v>
      </c>
      <c r="F56">
        <v>13</v>
      </c>
      <c r="G56" t="str">
        <f t="shared" si="0"/>
        <v>Registrodeinformación_Elaboracióndeglosarios</v>
      </c>
    </row>
    <row r="57" spans="1:7" ht="192" x14ac:dyDescent="0.2">
      <c r="A57" s="4" t="s">
        <v>22</v>
      </c>
      <c r="B57" s="4" t="s">
        <v>31</v>
      </c>
      <c r="C57" s="7" t="s">
        <v>32</v>
      </c>
      <c r="D57" t="s">
        <v>323</v>
      </c>
      <c r="E57" t="s">
        <v>324</v>
      </c>
      <c r="F57">
        <v>13</v>
      </c>
      <c r="G57" t="str">
        <f t="shared" si="0"/>
        <v>Altaconfiabilidad_Procedenciadelainfo</v>
      </c>
    </row>
    <row r="58" spans="1:7" x14ac:dyDescent="0.2">
      <c r="A58" s="4" t="s">
        <v>14</v>
      </c>
      <c r="B58" s="4" t="s">
        <v>39</v>
      </c>
      <c r="C58" s="4" t="s">
        <v>289</v>
      </c>
      <c r="D58" t="s">
        <v>323</v>
      </c>
      <c r="E58" t="s">
        <v>324</v>
      </c>
      <c r="F58">
        <v>13</v>
      </c>
      <c r="G58" t="str">
        <f t="shared" si="0"/>
        <v>Tiposdefuente_Sitiosgubernamentales</v>
      </c>
    </row>
    <row r="59" spans="1:7" ht="96" x14ac:dyDescent="0.2">
      <c r="A59" s="4" t="s">
        <v>22</v>
      </c>
      <c r="B59" s="4" t="s">
        <v>290</v>
      </c>
      <c r="C59" s="7" t="s">
        <v>291</v>
      </c>
      <c r="D59" t="s">
        <v>323</v>
      </c>
      <c r="E59" t="s">
        <v>324</v>
      </c>
      <c r="F59">
        <v>14</v>
      </c>
      <c r="G59" t="str">
        <f t="shared" si="0"/>
        <v>Altaconfiabilidad_Comparaciónterminológica</v>
      </c>
    </row>
    <row r="60" spans="1:7" x14ac:dyDescent="0.2">
      <c r="A60" s="4" t="s">
        <v>14</v>
      </c>
      <c r="B60" s="4" t="s">
        <v>191</v>
      </c>
      <c r="C60" s="4" t="s">
        <v>192</v>
      </c>
      <c r="D60" t="s">
        <v>323</v>
      </c>
      <c r="E60" t="s">
        <v>324</v>
      </c>
      <c r="F60">
        <v>5</v>
      </c>
      <c r="G60" t="str">
        <f t="shared" si="0"/>
        <v>Tiposdefuente_Génerossimilares</v>
      </c>
    </row>
    <row r="61" spans="1:7" x14ac:dyDescent="0.2">
      <c r="A61" s="4" t="s">
        <v>14</v>
      </c>
      <c r="B61" s="4" t="s">
        <v>15</v>
      </c>
      <c r="C61" s="4" t="s">
        <v>200</v>
      </c>
      <c r="D61" t="s">
        <v>323</v>
      </c>
      <c r="E61" t="s">
        <v>324</v>
      </c>
      <c r="F61">
        <v>6</v>
      </c>
      <c r="G61" t="str">
        <f t="shared" si="0"/>
        <v>Tiposdefuente_Basededatosacadémicos</v>
      </c>
    </row>
    <row r="62" spans="1:7" x14ac:dyDescent="0.2">
      <c r="A62" s="4" t="s">
        <v>14</v>
      </c>
      <c r="B62" s="4" t="s">
        <v>191</v>
      </c>
      <c r="C62" s="4" t="s">
        <v>208</v>
      </c>
      <c r="D62" t="s">
        <v>323</v>
      </c>
      <c r="E62" t="s">
        <v>324</v>
      </c>
      <c r="F62">
        <v>7</v>
      </c>
      <c r="G62" t="str">
        <f t="shared" si="0"/>
        <v>Tiposdefuente_Génerossimilares</v>
      </c>
    </row>
    <row r="63" spans="1:7" ht="96" x14ac:dyDescent="0.2">
      <c r="A63" s="4" t="s">
        <v>222</v>
      </c>
      <c r="B63" s="4" t="s">
        <v>223</v>
      </c>
      <c r="C63" s="7" t="s">
        <v>292</v>
      </c>
      <c r="D63" t="s">
        <v>323</v>
      </c>
      <c r="E63" t="s">
        <v>324</v>
      </c>
      <c r="F63">
        <v>9</v>
      </c>
      <c r="G63" t="str">
        <f t="shared" si="0"/>
        <v>Noregistro_Limitacióntemporal</v>
      </c>
    </row>
    <row r="64" spans="1:7" x14ac:dyDescent="0.2">
      <c r="A64" s="4" t="s">
        <v>14</v>
      </c>
      <c r="B64" s="4" t="s">
        <v>183</v>
      </c>
      <c r="C64" s="4" t="s">
        <v>293</v>
      </c>
      <c r="D64" t="s">
        <v>323</v>
      </c>
      <c r="E64" t="s">
        <v>324</v>
      </c>
      <c r="F64">
        <v>5</v>
      </c>
      <c r="G64" t="str">
        <f t="shared" si="0"/>
        <v>Tiposdefuente_Glosarios</v>
      </c>
    </row>
    <row r="65" spans="1:7" ht="132" x14ac:dyDescent="0.2">
      <c r="A65" s="4" t="s">
        <v>174</v>
      </c>
      <c r="B65" s="4" t="s">
        <v>175</v>
      </c>
      <c r="C65" s="7" t="s">
        <v>294</v>
      </c>
      <c r="D65" t="s">
        <v>323</v>
      </c>
      <c r="E65" t="s">
        <v>324</v>
      </c>
      <c r="F65">
        <v>3</v>
      </c>
      <c r="G65" t="str">
        <f t="shared" si="0"/>
        <v>Documentaciónterminológica_Revisióndelequivalente</v>
      </c>
    </row>
    <row r="66" spans="1:7" x14ac:dyDescent="0.2">
      <c r="A66" s="4" t="s">
        <v>14</v>
      </c>
      <c r="B66" s="4" t="s">
        <v>159</v>
      </c>
      <c r="C66" s="4" t="s">
        <v>168</v>
      </c>
      <c r="D66" t="s">
        <v>323</v>
      </c>
      <c r="E66" t="s">
        <v>324</v>
      </c>
      <c r="F66">
        <v>3</v>
      </c>
      <c r="G66" t="str">
        <f t="shared" si="0"/>
        <v>Tiposdefuente_Diccionariogeneral</v>
      </c>
    </row>
    <row r="67" spans="1:7" x14ac:dyDescent="0.2">
      <c r="A67" s="4" t="s">
        <v>134</v>
      </c>
      <c r="B67" s="4" t="s">
        <v>135</v>
      </c>
      <c r="C67" s="4" t="s">
        <v>295</v>
      </c>
      <c r="D67" t="s">
        <v>323</v>
      </c>
      <c r="E67" t="s">
        <v>324</v>
      </c>
      <c r="F67">
        <v>3</v>
      </c>
      <c r="G67" t="str">
        <f t="shared" ref="G67:G99" si="1">SUBSTITUTE(A67," ","") &amp; "_" &amp; SUBSTITUTE(B67," ","")</f>
        <v>Búsquedaprevia-inicial_Búsquedaterminológica</v>
      </c>
    </row>
    <row r="68" spans="1:7" x14ac:dyDescent="0.2">
      <c r="A68" s="4" t="s">
        <v>134</v>
      </c>
      <c r="B68" s="4" t="s">
        <v>143</v>
      </c>
      <c r="C68" s="4" t="s">
        <v>144</v>
      </c>
      <c r="D68" t="s">
        <v>323</v>
      </c>
      <c r="E68" t="s">
        <v>324</v>
      </c>
      <c r="F68">
        <v>1</v>
      </c>
      <c r="G68" t="str">
        <f t="shared" si="1"/>
        <v>Búsquedaprevia-inicial_Búsquedatemática</v>
      </c>
    </row>
    <row r="69" spans="1:7" x14ac:dyDescent="0.2">
      <c r="A69" s="4" t="s">
        <v>134</v>
      </c>
      <c r="B69" s="4" t="s">
        <v>135</v>
      </c>
      <c r="C69" s="4" t="s">
        <v>296</v>
      </c>
      <c r="D69" t="s">
        <v>323</v>
      </c>
      <c r="E69" t="s">
        <v>324</v>
      </c>
      <c r="F69">
        <v>1</v>
      </c>
      <c r="G69" t="str">
        <f t="shared" si="1"/>
        <v>Búsquedaprevia-inicial_Búsquedaterminológica</v>
      </c>
    </row>
    <row r="70" spans="1:7" x14ac:dyDescent="0.2">
      <c r="A70" s="4" t="s">
        <v>267</v>
      </c>
      <c r="B70" s="4" t="s">
        <v>297</v>
      </c>
      <c r="C70" s="4" t="s">
        <v>298</v>
      </c>
      <c r="D70" t="s">
        <v>323</v>
      </c>
      <c r="E70" t="s">
        <v>324</v>
      </c>
      <c r="F70">
        <v>15</v>
      </c>
      <c r="G70" t="str">
        <f t="shared" si="1"/>
        <v>Bajaconfiabilidad_Origendelainformación</v>
      </c>
    </row>
    <row r="71" spans="1:7" ht="96" x14ac:dyDescent="0.2">
      <c r="A71" s="4" t="s">
        <v>54</v>
      </c>
      <c r="B71" s="4" t="s">
        <v>55</v>
      </c>
      <c r="C71" s="7" t="s">
        <v>299</v>
      </c>
      <c r="D71" t="s">
        <v>323</v>
      </c>
      <c r="E71" t="s">
        <v>324</v>
      </c>
      <c r="F71">
        <v>17</v>
      </c>
      <c r="G71" t="str">
        <f t="shared" si="1"/>
        <v>Utilidaddefuentesespecializadas_Rectificaciónterminológica</v>
      </c>
    </row>
    <row r="72" spans="1:7" x14ac:dyDescent="0.2">
      <c r="A72" s="4" t="s">
        <v>14</v>
      </c>
      <c r="B72" s="4" t="s">
        <v>191</v>
      </c>
      <c r="C72" s="4" t="s">
        <v>300</v>
      </c>
      <c r="D72" t="s">
        <v>323</v>
      </c>
      <c r="E72" t="s">
        <v>324</v>
      </c>
      <c r="F72">
        <v>18</v>
      </c>
      <c r="G72" t="str">
        <f t="shared" si="1"/>
        <v>Tiposdefuente_Génerossimilares</v>
      </c>
    </row>
    <row r="73" spans="1:7" ht="108" x14ac:dyDescent="0.2">
      <c r="A73" s="4" t="s">
        <v>54</v>
      </c>
      <c r="B73" s="4" t="s">
        <v>63</v>
      </c>
      <c r="C73" s="7" t="s">
        <v>64</v>
      </c>
      <c r="D73" t="s">
        <v>323</v>
      </c>
      <c r="E73" t="s">
        <v>324</v>
      </c>
      <c r="F73">
        <v>18</v>
      </c>
      <c r="G73" t="str">
        <f t="shared" si="1"/>
        <v>Utilidaddefuentesespecializadas_Verificaciónterminológica</v>
      </c>
    </row>
    <row r="74" spans="1:7" ht="96" x14ac:dyDescent="0.2">
      <c r="A74" s="4" t="s">
        <v>78</v>
      </c>
      <c r="B74" s="4" t="s">
        <v>79</v>
      </c>
      <c r="C74" s="7" t="s">
        <v>80</v>
      </c>
      <c r="D74" t="s">
        <v>323</v>
      </c>
      <c r="E74" t="s">
        <v>324</v>
      </c>
      <c r="F74">
        <v>19</v>
      </c>
      <c r="G74" t="str">
        <f t="shared" si="1"/>
        <v>Organizacióndebúsquedadeinfo_Paralelo</v>
      </c>
    </row>
    <row r="75" spans="1:7" ht="96" x14ac:dyDescent="0.2">
      <c r="A75" s="4" t="s">
        <v>134</v>
      </c>
      <c r="B75" s="4" t="s">
        <v>135</v>
      </c>
      <c r="C75" s="7" t="s">
        <v>80</v>
      </c>
      <c r="D75" t="s">
        <v>323</v>
      </c>
      <c r="E75" t="s">
        <v>324</v>
      </c>
      <c r="F75">
        <v>19</v>
      </c>
      <c r="G75" t="str">
        <f t="shared" si="1"/>
        <v>Búsquedaprevia-inicial_Búsquedaterminológica</v>
      </c>
    </row>
    <row r="76" spans="1:7" ht="228" x14ac:dyDescent="0.2">
      <c r="A76" s="4" t="s">
        <v>78</v>
      </c>
      <c r="B76" s="4" t="s">
        <v>95</v>
      </c>
      <c r="C76" s="7" t="s">
        <v>301</v>
      </c>
      <c r="D76" t="s">
        <v>323</v>
      </c>
      <c r="E76" t="s">
        <v>324</v>
      </c>
      <c r="F76">
        <v>20</v>
      </c>
      <c r="G76" t="str">
        <f t="shared" si="1"/>
        <v>Organizacióndebúsquedadeinfo_Secuencial</v>
      </c>
    </row>
    <row r="77" spans="1:7" x14ac:dyDescent="0.2">
      <c r="A77" s="4" t="s">
        <v>86</v>
      </c>
      <c r="B77" s="4" t="s">
        <v>260</v>
      </c>
      <c r="C77" s="4" t="s">
        <v>303</v>
      </c>
      <c r="D77" t="s">
        <v>323</v>
      </c>
      <c r="E77" t="s">
        <v>324</v>
      </c>
      <c r="F77">
        <v>20</v>
      </c>
      <c r="G77" t="str">
        <f t="shared" si="1"/>
        <v>Etapasdelprocesodedocumentación_Lecturapreviadeltexto</v>
      </c>
    </row>
    <row r="78" spans="1:7" ht="144" x14ac:dyDescent="0.2">
      <c r="A78" s="4" t="s">
        <v>86</v>
      </c>
      <c r="B78" s="4" t="s">
        <v>304</v>
      </c>
      <c r="C78" s="7" t="s">
        <v>96</v>
      </c>
      <c r="D78" t="s">
        <v>323</v>
      </c>
      <c r="E78" t="s">
        <v>324</v>
      </c>
      <c r="F78">
        <v>20</v>
      </c>
      <c r="G78" t="str">
        <f t="shared" si="1"/>
        <v>Etapasdelprocesodedocumentación_Identificaciónoextraccióndetérminos</v>
      </c>
    </row>
    <row r="79" spans="1:7" x14ac:dyDescent="0.2">
      <c r="A79" s="4" t="s">
        <v>86</v>
      </c>
      <c r="B79" s="4" t="s">
        <v>87</v>
      </c>
      <c r="C79" s="4" t="s">
        <v>305</v>
      </c>
      <c r="D79" t="s">
        <v>323</v>
      </c>
      <c r="E79" t="s">
        <v>324</v>
      </c>
      <c r="F79">
        <v>20</v>
      </c>
      <c r="G79" t="str">
        <f t="shared" si="1"/>
        <v>Etapasdelprocesodedocumentación_Documentacióntemática</v>
      </c>
    </row>
    <row r="80" spans="1:7" ht="120" x14ac:dyDescent="0.2">
      <c r="A80" s="4" t="s">
        <v>118</v>
      </c>
      <c r="B80" s="4" t="s">
        <v>119</v>
      </c>
      <c r="C80" s="7" t="s">
        <v>120</v>
      </c>
      <c r="D80" t="s">
        <v>323</v>
      </c>
      <c r="E80" t="s">
        <v>324</v>
      </c>
      <c r="F80">
        <v>21</v>
      </c>
      <c r="G80" t="str">
        <f t="shared" si="1"/>
        <v>Valoracióndeladocumentación_Positiva</v>
      </c>
    </row>
    <row r="81" spans="1:7" ht="132" x14ac:dyDescent="0.2">
      <c r="A81" s="10" t="s">
        <v>54</v>
      </c>
      <c r="B81" s="10" t="s">
        <v>284</v>
      </c>
      <c r="C81" s="13" t="s">
        <v>283</v>
      </c>
      <c r="D81" t="s">
        <v>323</v>
      </c>
      <c r="E81" t="s">
        <v>322</v>
      </c>
      <c r="F81">
        <v>6</v>
      </c>
      <c r="G81" t="str">
        <f t="shared" si="1"/>
        <v>Utilidaddefuentesespecializadas_Comprensiónterminológica</v>
      </c>
    </row>
    <row r="82" spans="1:7" ht="132" x14ac:dyDescent="0.2">
      <c r="A82" s="4" t="s">
        <v>14</v>
      </c>
      <c r="B82" s="4" t="s">
        <v>191</v>
      </c>
      <c r="C82" s="7" t="s">
        <v>283</v>
      </c>
      <c r="D82" t="s">
        <v>323</v>
      </c>
      <c r="E82" t="s">
        <v>322</v>
      </c>
      <c r="F82">
        <v>6</v>
      </c>
      <c r="G82" t="str">
        <f t="shared" si="1"/>
        <v>Tiposdefuente_Génerossimilares</v>
      </c>
    </row>
    <row r="83" spans="1:7" x14ac:dyDescent="0.2">
      <c r="A83" s="4" t="s">
        <v>280</v>
      </c>
      <c r="B83" s="4" t="s">
        <v>281</v>
      </c>
      <c r="C83" s="4" t="s">
        <v>282</v>
      </c>
      <c r="D83" t="s">
        <v>323</v>
      </c>
      <c r="E83" t="s">
        <v>322</v>
      </c>
      <c r="F83">
        <v>4</v>
      </c>
      <c r="G83" t="str">
        <f t="shared" si="1"/>
        <v>Estrategiasdebúsquedadeinformación_Operadoresbooleanos</v>
      </c>
    </row>
    <row r="84" spans="1:7" ht="108" x14ac:dyDescent="0.2">
      <c r="A84" s="4" t="s">
        <v>14</v>
      </c>
      <c r="B84" s="4" t="s">
        <v>183</v>
      </c>
      <c r="C84" s="7" t="s">
        <v>279</v>
      </c>
      <c r="D84" t="s">
        <v>323</v>
      </c>
      <c r="E84" t="s">
        <v>322</v>
      </c>
      <c r="F84">
        <v>3</v>
      </c>
      <c r="G84" t="str">
        <f t="shared" si="1"/>
        <v>Tiposdefuente_Glosarios</v>
      </c>
    </row>
    <row r="85" spans="1:7" x14ac:dyDescent="0.2">
      <c r="A85" s="4" t="s">
        <v>86</v>
      </c>
      <c r="B85" s="4" t="s">
        <v>260</v>
      </c>
      <c r="C85" s="4" t="s">
        <v>309</v>
      </c>
      <c r="D85" t="s">
        <v>323</v>
      </c>
      <c r="E85" t="s">
        <v>322</v>
      </c>
      <c r="F85">
        <v>1</v>
      </c>
      <c r="G85" t="str">
        <f t="shared" si="1"/>
        <v>Etapasdelprocesodedocumentación_Lecturapreviadeltexto</v>
      </c>
    </row>
    <row r="86" spans="1:7" x14ac:dyDescent="0.2">
      <c r="A86" s="4" t="s">
        <v>254</v>
      </c>
      <c r="B86" s="4" t="s">
        <v>255</v>
      </c>
      <c r="C86" s="4" t="s">
        <v>311</v>
      </c>
      <c r="D86" t="s">
        <v>323</v>
      </c>
      <c r="E86" t="s">
        <v>322</v>
      </c>
      <c r="F86">
        <v>1</v>
      </c>
      <c r="G86" t="str">
        <f t="shared" si="1"/>
        <v>Limitacionesdedocumentación_Temporal</v>
      </c>
    </row>
    <row r="87" spans="1:7" x14ac:dyDescent="0.2">
      <c r="A87" s="4" t="s">
        <v>134</v>
      </c>
      <c r="B87" s="4" t="s">
        <v>312</v>
      </c>
      <c r="C87" s="4" t="s">
        <v>311</v>
      </c>
      <c r="D87" t="s">
        <v>323</v>
      </c>
      <c r="E87" t="s">
        <v>322</v>
      </c>
      <c r="F87">
        <v>1</v>
      </c>
      <c r="G87" t="str">
        <f t="shared" si="1"/>
        <v>Búsquedaprevia-inicial_Sindocumentaciónprevia</v>
      </c>
    </row>
    <row r="88" spans="1:7" ht="192" x14ac:dyDescent="0.2">
      <c r="A88" s="4" t="s">
        <v>222</v>
      </c>
      <c r="B88" s="4" t="s">
        <v>275</v>
      </c>
      <c r="C88" s="7" t="s">
        <v>313</v>
      </c>
      <c r="D88" t="s">
        <v>323</v>
      </c>
      <c r="E88" t="s">
        <v>322</v>
      </c>
      <c r="F88">
        <v>7</v>
      </c>
      <c r="G88" t="str">
        <f t="shared" si="1"/>
        <v>Noregistro_Asimilacióninmediata</v>
      </c>
    </row>
    <row r="89" spans="1:7" x14ac:dyDescent="0.2">
      <c r="A89" s="4" t="s">
        <v>254</v>
      </c>
      <c r="B89" s="4" t="s">
        <v>315</v>
      </c>
      <c r="C89" s="4" t="s">
        <v>316</v>
      </c>
      <c r="D89" t="s">
        <v>323</v>
      </c>
      <c r="E89" t="s">
        <v>322</v>
      </c>
      <c r="F89">
        <v>8</v>
      </c>
      <c r="G89" t="str">
        <f t="shared" si="1"/>
        <v>Limitacionesdedocumentación_Desorganizacióndelainformación</v>
      </c>
    </row>
    <row r="90" spans="1:7" x14ac:dyDescent="0.2">
      <c r="A90" s="4" t="s">
        <v>222</v>
      </c>
      <c r="B90" s="4" t="s">
        <v>271</v>
      </c>
      <c r="C90" s="4" t="s">
        <v>272</v>
      </c>
      <c r="D90" t="s">
        <v>323</v>
      </c>
      <c r="E90" t="s">
        <v>322</v>
      </c>
      <c r="F90">
        <v>9</v>
      </c>
      <c r="G90" t="str">
        <f t="shared" si="1"/>
        <v>Noregistro_Faltadehábito</v>
      </c>
    </row>
    <row r="91" spans="1:7" x14ac:dyDescent="0.2">
      <c r="A91" s="4" t="s">
        <v>254</v>
      </c>
      <c r="B91" s="4" t="s">
        <v>255</v>
      </c>
      <c r="C91" s="4" t="s">
        <v>270</v>
      </c>
      <c r="D91" t="s">
        <v>323</v>
      </c>
      <c r="E91" t="s">
        <v>322</v>
      </c>
      <c r="F91">
        <v>10</v>
      </c>
      <c r="G91" t="str">
        <f t="shared" si="1"/>
        <v>Limitacionesdedocumentación_Temporal</v>
      </c>
    </row>
    <row r="92" spans="1:7" x14ac:dyDescent="0.2">
      <c r="A92" s="4" t="s">
        <v>22</v>
      </c>
      <c r="B92" s="4" t="s">
        <v>317</v>
      </c>
      <c r="C92" s="4" t="s">
        <v>318</v>
      </c>
      <c r="D92" t="s">
        <v>323</v>
      </c>
      <c r="E92" t="s">
        <v>322</v>
      </c>
      <c r="F92">
        <v>11</v>
      </c>
      <c r="G92" t="str">
        <f t="shared" si="1"/>
        <v>Altaconfiabilidad_Frecuenciadeuso</v>
      </c>
    </row>
    <row r="93" spans="1:7" ht="108" x14ac:dyDescent="0.2">
      <c r="A93" s="4" t="s">
        <v>267</v>
      </c>
      <c r="B93" s="4" t="s">
        <v>268</v>
      </c>
      <c r="C93" s="7" t="s">
        <v>269</v>
      </c>
      <c r="D93" t="s">
        <v>323</v>
      </c>
      <c r="E93" t="s">
        <v>322</v>
      </c>
      <c r="F93">
        <v>13</v>
      </c>
      <c r="G93" t="str">
        <f t="shared" si="1"/>
        <v>Bajaconfiabilidad_Elecciónintuitiva</v>
      </c>
    </row>
    <row r="94" spans="1:7" x14ac:dyDescent="0.2">
      <c r="A94" s="4" t="s">
        <v>254</v>
      </c>
      <c r="B94" s="4" t="s">
        <v>255</v>
      </c>
      <c r="C94" s="4" t="s">
        <v>265</v>
      </c>
      <c r="D94" t="s">
        <v>323</v>
      </c>
      <c r="E94" t="s">
        <v>322</v>
      </c>
      <c r="F94">
        <v>14</v>
      </c>
      <c r="G94" t="str">
        <f t="shared" si="1"/>
        <v>Limitacionesdedocumentación_Temporal</v>
      </c>
    </row>
    <row r="95" spans="1:7" ht="204" x14ac:dyDescent="0.2">
      <c r="A95" s="4" t="s">
        <v>78</v>
      </c>
      <c r="B95" s="4" t="s">
        <v>95</v>
      </c>
      <c r="C95" s="7" t="s">
        <v>263</v>
      </c>
      <c r="D95" t="s">
        <v>323</v>
      </c>
      <c r="E95" t="s">
        <v>322</v>
      </c>
      <c r="F95">
        <v>16</v>
      </c>
      <c r="G95" t="str">
        <f t="shared" si="1"/>
        <v>Organizacióndebúsquedadeinfo_Secuencial</v>
      </c>
    </row>
    <row r="96" spans="1:7" x14ac:dyDescent="0.2">
      <c r="A96" s="4" t="s">
        <v>254</v>
      </c>
      <c r="B96" s="4" t="s">
        <v>315</v>
      </c>
      <c r="C96" s="4" t="s">
        <v>319</v>
      </c>
      <c r="D96" t="s">
        <v>323</v>
      </c>
      <c r="E96" t="s">
        <v>322</v>
      </c>
      <c r="F96">
        <v>17</v>
      </c>
      <c r="G96" t="str">
        <f t="shared" si="1"/>
        <v>Limitacionesdedocumentación_Desorganizacióndelainformación</v>
      </c>
    </row>
    <row r="97" spans="1:7" ht="96" x14ac:dyDescent="0.2">
      <c r="A97" s="4" t="s">
        <v>222</v>
      </c>
      <c r="B97" s="4" t="s">
        <v>271</v>
      </c>
      <c r="C97" s="7" t="s">
        <v>253</v>
      </c>
      <c r="D97" t="s">
        <v>323</v>
      </c>
      <c r="E97" t="s">
        <v>322</v>
      </c>
      <c r="F97">
        <v>18</v>
      </c>
      <c r="G97" t="str">
        <f t="shared" si="1"/>
        <v>Noregistro_Faltadehábito</v>
      </c>
    </row>
    <row r="98" spans="1:7" ht="120" x14ac:dyDescent="0.2">
      <c r="A98" s="4" t="s">
        <v>118</v>
      </c>
      <c r="B98" s="4" t="s">
        <v>119</v>
      </c>
      <c r="C98" s="7" t="s">
        <v>251</v>
      </c>
      <c r="D98" t="s">
        <v>323</v>
      </c>
      <c r="E98" t="s">
        <v>322</v>
      </c>
      <c r="F98">
        <v>19</v>
      </c>
      <c r="G98" t="str">
        <f t="shared" si="1"/>
        <v>Valoracióndeladocumentación_Positiva</v>
      </c>
    </row>
    <row r="99" spans="1:7" ht="180" x14ac:dyDescent="0.2">
      <c r="A99" s="4" t="s">
        <v>54</v>
      </c>
      <c r="B99" s="4" t="s">
        <v>63</v>
      </c>
      <c r="C99" s="7" t="s">
        <v>249</v>
      </c>
      <c r="D99" t="s">
        <v>323</v>
      </c>
      <c r="E99" t="s">
        <v>322</v>
      </c>
      <c r="F99">
        <v>20</v>
      </c>
      <c r="G99" t="str">
        <f t="shared" si="1"/>
        <v>Utilidaddefuentesespecializadas_Verificaciónterminológica</v>
      </c>
    </row>
  </sheetData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F952A-BE98-4949-8F85-5EA17EAACBB3}">
  <dimension ref="A1:F99"/>
  <sheetViews>
    <sheetView topLeftCell="A60" workbookViewId="0">
      <selection activeCell="F99" sqref="A1:F99"/>
    </sheetView>
  </sheetViews>
  <sheetFormatPr baseColWidth="10" defaultRowHeight="15" x14ac:dyDescent="0.2"/>
  <sheetData>
    <row r="1" spans="1:6" x14ac:dyDescent="0.2">
      <c r="A1" t="s">
        <v>320</v>
      </c>
      <c r="B1" t="s">
        <v>325</v>
      </c>
      <c r="C1" t="s">
        <v>3</v>
      </c>
      <c r="D1" t="s">
        <v>326</v>
      </c>
      <c r="E1" t="s">
        <v>365</v>
      </c>
      <c r="F1" t="s">
        <v>366</v>
      </c>
    </row>
    <row r="2" spans="1:6" x14ac:dyDescent="0.2">
      <c r="A2" t="s">
        <v>324</v>
      </c>
      <c r="B2">
        <v>1</v>
      </c>
      <c r="C2" t="s">
        <v>321</v>
      </c>
      <c r="D2" t="s">
        <v>327</v>
      </c>
      <c r="E2">
        <v>1</v>
      </c>
      <c r="F2" t="str" cm="1">
        <f t="array" ref="F2:F99">A2:A99 &amp; "_Q" &amp; B2:B99</f>
        <v>INE_Q1</v>
      </c>
    </row>
    <row r="3" spans="1:6" x14ac:dyDescent="0.2">
      <c r="A3" t="s">
        <v>324</v>
      </c>
      <c r="B3">
        <v>1</v>
      </c>
      <c r="C3" t="s">
        <v>321</v>
      </c>
      <c r="D3" t="s">
        <v>328</v>
      </c>
      <c r="E3">
        <v>1</v>
      </c>
      <c r="F3" t="str">
        <v>INE_Q1</v>
      </c>
    </row>
    <row r="4" spans="1:6" x14ac:dyDescent="0.2">
      <c r="A4" t="s">
        <v>324</v>
      </c>
      <c r="B4">
        <v>1</v>
      </c>
      <c r="C4" t="s">
        <v>321</v>
      </c>
      <c r="D4" t="s">
        <v>329</v>
      </c>
      <c r="E4">
        <v>1</v>
      </c>
      <c r="F4" t="str">
        <v>INE_Q1</v>
      </c>
    </row>
    <row r="5" spans="1:6" x14ac:dyDescent="0.2">
      <c r="A5" t="s">
        <v>324</v>
      </c>
      <c r="B5">
        <v>13</v>
      </c>
      <c r="C5" t="s">
        <v>321</v>
      </c>
      <c r="D5" t="s">
        <v>330</v>
      </c>
      <c r="E5">
        <v>1</v>
      </c>
      <c r="F5" t="str">
        <v>INE_Q13</v>
      </c>
    </row>
    <row r="6" spans="1:6" x14ac:dyDescent="0.2">
      <c r="A6" t="s">
        <v>324</v>
      </c>
      <c r="B6">
        <v>14</v>
      </c>
      <c r="C6" t="s">
        <v>321</v>
      </c>
      <c r="D6" t="s">
        <v>328</v>
      </c>
      <c r="E6">
        <v>1</v>
      </c>
      <c r="F6" t="str">
        <v>INE_Q14</v>
      </c>
    </row>
    <row r="7" spans="1:6" x14ac:dyDescent="0.2">
      <c r="A7" t="s">
        <v>324</v>
      </c>
      <c r="B7">
        <v>17</v>
      </c>
      <c r="C7" t="s">
        <v>321</v>
      </c>
      <c r="D7" t="s">
        <v>331</v>
      </c>
      <c r="E7">
        <v>1</v>
      </c>
      <c r="F7" t="str">
        <v>INE_Q17</v>
      </c>
    </row>
    <row r="8" spans="1:6" x14ac:dyDescent="0.2">
      <c r="A8" t="s">
        <v>324</v>
      </c>
      <c r="B8">
        <v>18</v>
      </c>
      <c r="C8" t="s">
        <v>321</v>
      </c>
      <c r="D8" t="s">
        <v>332</v>
      </c>
      <c r="E8">
        <v>1</v>
      </c>
      <c r="F8" t="str">
        <v>INE_Q18</v>
      </c>
    </row>
    <row r="9" spans="1:6" x14ac:dyDescent="0.2">
      <c r="A9" t="s">
        <v>324</v>
      </c>
      <c r="B9">
        <v>19</v>
      </c>
      <c r="C9" t="s">
        <v>321</v>
      </c>
      <c r="D9" t="s">
        <v>333</v>
      </c>
      <c r="E9">
        <v>1</v>
      </c>
      <c r="F9" t="str">
        <v>INE_Q19</v>
      </c>
    </row>
    <row r="10" spans="1:6" x14ac:dyDescent="0.2">
      <c r="A10" t="s">
        <v>324</v>
      </c>
      <c r="B10">
        <v>19</v>
      </c>
      <c r="C10" t="s">
        <v>321</v>
      </c>
      <c r="D10" t="s">
        <v>334</v>
      </c>
      <c r="E10">
        <v>1</v>
      </c>
      <c r="F10" t="str">
        <v>INE_Q19</v>
      </c>
    </row>
    <row r="11" spans="1:6" x14ac:dyDescent="0.2">
      <c r="A11" t="s">
        <v>324</v>
      </c>
      <c r="B11">
        <v>20</v>
      </c>
      <c r="C11" t="s">
        <v>321</v>
      </c>
      <c r="D11" t="s">
        <v>335</v>
      </c>
      <c r="E11">
        <v>1</v>
      </c>
      <c r="F11" t="str">
        <v>INE_Q20</v>
      </c>
    </row>
    <row r="12" spans="1:6" x14ac:dyDescent="0.2">
      <c r="A12" t="s">
        <v>324</v>
      </c>
      <c r="B12">
        <v>20</v>
      </c>
      <c r="C12" t="s">
        <v>321</v>
      </c>
      <c r="D12" t="s">
        <v>336</v>
      </c>
      <c r="E12">
        <v>1</v>
      </c>
      <c r="F12" t="str">
        <v>INE_Q20</v>
      </c>
    </row>
    <row r="13" spans="1:6" x14ac:dyDescent="0.2">
      <c r="A13" t="s">
        <v>324</v>
      </c>
      <c r="B13">
        <v>20</v>
      </c>
      <c r="C13" t="s">
        <v>321</v>
      </c>
      <c r="D13" t="s">
        <v>337</v>
      </c>
      <c r="E13">
        <v>1</v>
      </c>
      <c r="F13" t="str">
        <v>INE_Q20</v>
      </c>
    </row>
    <row r="14" spans="1:6" x14ac:dyDescent="0.2">
      <c r="A14" t="s">
        <v>324</v>
      </c>
      <c r="B14">
        <v>20</v>
      </c>
      <c r="C14" t="s">
        <v>321</v>
      </c>
      <c r="D14" t="s">
        <v>338</v>
      </c>
      <c r="E14">
        <v>1</v>
      </c>
      <c r="F14" t="str">
        <v>INE_Q20</v>
      </c>
    </row>
    <row r="15" spans="1:6" x14ac:dyDescent="0.2">
      <c r="A15" t="s">
        <v>324</v>
      </c>
      <c r="B15">
        <v>21</v>
      </c>
      <c r="C15" t="s">
        <v>321</v>
      </c>
      <c r="D15" t="s">
        <v>339</v>
      </c>
      <c r="E15">
        <v>1</v>
      </c>
      <c r="F15" t="str">
        <v>INE_Q21</v>
      </c>
    </row>
    <row r="16" spans="1:6" x14ac:dyDescent="0.2">
      <c r="A16" t="s">
        <v>324</v>
      </c>
      <c r="B16">
        <v>22</v>
      </c>
      <c r="C16" t="s">
        <v>321</v>
      </c>
      <c r="D16" t="s">
        <v>340</v>
      </c>
      <c r="E16">
        <v>1</v>
      </c>
      <c r="F16" t="str">
        <v>INE_Q22</v>
      </c>
    </row>
    <row r="17" spans="1:6" x14ac:dyDescent="0.2">
      <c r="A17" t="s">
        <v>324</v>
      </c>
      <c r="B17">
        <v>1</v>
      </c>
      <c r="C17" t="s">
        <v>321</v>
      </c>
      <c r="D17" t="s">
        <v>341</v>
      </c>
      <c r="E17">
        <v>1</v>
      </c>
      <c r="F17" t="str">
        <v>INE_Q1</v>
      </c>
    </row>
    <row r="18" spans="1:6" x14ac:dyDescent="0.2">
      <c r="A18" t="s">
        <v>324</v>
      </c>
      <c r="B18">
        <v>1</v>
      </c>
      <c r="C18" t="s">
        <v>321</v>
      </c>
      <c r="D18" t="s">
        <v>342</v>
      </c>
      <c r="E18">
        <v>1</v>
      </c>
      <c r="F18" t="str">
        <v>INE_Q1</v>
      </c>
    </row>
    <row r="19" spans="1:6" x14ac:dyDescent="0.2">
      <c r="A19" t="s">
        <v>324</v>
      </c>
      <c r="B19">
        <v>2</v>
      </c>
      <c r="C19" t="s">
        <v>321</v>
      </c>
      <c r="D19" t="s">
        <v>343</v>
      </c>
      <c r="E19">
        <v>1</v>
      </c>
      <c r="F19" t="str">
        <v>INE_Q2</v>
      </c>
    </row>
    <row r="20" spans="1:6" x14ac:dyDescent="0.2">
      <c r="A20" t="s">
        <v>324</v>
      </c>
      <c r="B20">
        <v>3</v>
      </c>
      <c r="C20" t="s">
        <v>321</v>
      </c>
      <c r="D20" t="s">
        <v>344</v>
      </c>
      <c r="E20">
        <v>1</v>
      </c>
      <c r="F20" t="str">
        <v>INE_Q3</v>
      </c>
    </row>
    <row r="21" spans="1:6" x14ac:dyDescent="0.2">
      <c r="A21" t="s">
        <v>324</v>
      </c>
      <c r="B21">
        <v>3</v>
      </c>
      <c r="C21" t="s">
        <v>321</v>
      </c>
      <c r="D21" t="s">
        <v>341</v>
      </c>
      <c r="E21">
        <v>1</v>
      </c>
      <c r="F21" t="str">
        <v>INE_Q3</v>
      </c>
    </row>
    <row r="22" spans="1:6" x14ac:dyDescent="0.2">
      <c r="A22" t="s">
        <v>324</v>
      </c>
      <c r="B22">
        <v>3</v>
      </c>
      <c r="C22" t="s">
        <v>321</v>
      </c>
      <c r="D22" t="s">
        <v>345</v>
      </c>
      <c r="E22">
        <v>1</v>
      </c>
      <c r="F22" t="str">
        <v>INE_Q3</v>
      </c>
    </row>
    <row r="23" spans="1:6" x14ac:dyDescent="0.2">
      <c r="A23" t="s">
        <v>324</v>
      </c>
      <c r="B23">
        <v>5</v>
      </c>
      <c r="C23" t="s">
        <v>321</v>
      </c>
      <c r="D23" t="s">
        <v>346</v>
      </c>
      <c r="E23">
        <v>1</v>
      </c>
      <c r="F23" t="str">
        <v>INE_Q5</v>
      </c>
    </row>
    <row r="24" spans="1:6" x14ac:dyDescent="0.2">
      <c r="A24" t="s">
        <v>324</v>
      </c>
      <c r="B24">
        <v>5</v>
      </c>
      <c r="C24" t="s">
        <v>321</v>
      </c>
      <c r="D24" t="s">
        <v>347</v>
      </c>
      <c r="E24">
        <v>1</v>
      </c>
      <c r="F24" t="str">
        <v>INE_Q5</v>
      </c>
    </row>
    <row r="25" spans="1:6" x14ac:dyDescent="0.2">
      <c r="A25" t="s">
        <v>324</v>
      </c>
      <c r="B25">
        <v>6</v>
      </c>
      <c r="C25" t="s">
        <v>321</v>
      </c>
      <c r="D25" t="s">
        <v>327</v>
      </c>
      <c r="E25">
        <v>1</v>
      </c>
      <c r="F25" t="str">
        <v>INE_Q6</v>
      </c>
    </row>
    <row r="26" spans="1:6" x14ac:dyDescent="0.2">
      <c r="A26" t="s">
        <v>324</v>
      </c>
      <c r="B26">
        <v>7</v>
      </c>
      <c r="C26" t="s">
        <v>321</v>
      </c>
      <c r="D26" t="s">
        <v>343</v>
      </c>
      <c r="E26">
        <v>1</v>
      </c>
      <c r="F26" t="str">
        <v>INE_Q7</v>
      </c>
    </row>
    <row r="27" spans="1:6" x14ac:dyDescent="0.2">
      <c r="A27" t="s">
        <v>324</v>
      </c>
      <c r="B27">
        <v>7</v>
      </c>
      <c r="C27" t="s">
        <v>321</v>
      </c>
      <c r="D27" t="s">
        <v>347</v>
      </c>
      <c r="E27">
        <v>1</v>
      </c>
      <c r="F27" t="str">
        <v>INE_Q7</v>
      </c>
    </row>
    <row r="28" spans="1:6" x14ac:dyDescent="0.2">
      <c r="A28" t="s">
        <v>324</v>
      </c>
      <c r="B28">
        <v>9</v>
      </c>
      <c r="C28" t="s">
        <v>321</v>
      </c>
      <c r="D28" t="s">
        <v>348</v>
      </c>
      <c r="E28">
        <v>1</v>
      </c>
      <c r="F28" t="str">
        <v>INE_Q9</v>
      </c>
    </row>
    <row r="29" spans="1:6" x14ac:dyDescent="0.2">
      <c r="A29" t="s">
        <v>324</v>
      </c>
      <c r="B29">
        <v>10</v>
      </c>
      <c r="C29" t="s">
        <v>321</v>
      </c>
      <c r="D29" t="s">
        <v>349</v>
      </c>
      <c r="E29">
        <v>1</v>
      </c>
      <c r="F29" t="str">
        <v>INE_Q10</v>
      </c>
    </row>
    <row r="30" spans="1:6" x14ac:dyDescent="0.2">
      <c r="A30" t="s">
        <v>324</v>
      </c>
      <c r="B30">
        <v>10</v>
      </c>
      <c r="C30" t="s">
        <v>321</v>
      </c>
      <c r="D30" t="s">
        <v>350</v>
      </c>
      <c r="E30">
        <v>1</v>
      </c>
      <c r="F30" t="str">
        <v>INE_Q10</v>
      </c>
    </row>
    <row r="31" spans="1:6" x14ac:dyDescent="0.2">
      <c r="A31" t="s">
        <v>324</v>
      </c>
      <c r="B31">
        <v>11</v>
      </c>
      <c r="C31" t="s">
        <v>321</v>
      </c>
      <c r="D31" t="s">
        <v>349</v>
      </c>
      <c r="E31">
        <v>1</v>
      </c>
      <c r="F31" t="str">
        <v>INE_Q11</v>
      </c>
    </row>
    <row r="32" spans="1:6" x14ac:dyDescent="0.2">
      <c r="A32" t="s">
        <v>322</v>
      </c>
      <c r="B32">
        <v>20</v>
      </c>
      <c r="C32" t="s">
        <v>321</v>
      </c>
      <c r="D32" t="s">
        <v>332</v>
      </c>
      <c r="E32">
        <v>1</v>
      </c>
      <c r="F32" t="str">
        <v>VE_Q20</v>
      </c>
    </row>
    <row r="33" spans="1:6" x14ac:dyDescent="0.2">
      <c r="A33" t="s">
        <v>322</v>
      </c>
      <c r="B33">
        <v>18</v>
      </c>
      <c r="C33" t="s">
        <v>321</v>
      </c>
      <c r="D33" t="s">
        <v>351</v>
      </c>
      <c r="E33">
        <v>1</v>
      </c>
      <c r="F33" t="str">
        <v>VE_Q18</v>
      </c>
    </row>
    <row r="34" spans="1:6" x14ac:dyDescent="0.2">
      <c r="A34" t="s">
        <v>322</v>
      </c>
      <c r="B34">
        <v>17</v>
      </c>
      <c r="C34" t="s">
        <v>321</v>
      </c>
      <c r="D34" t="s">
        <v>352</v>
      </c>
      <c r="E34">
        <v>1</v>
      </c>
      <c r="F34" t="str">
        <v>VE_Q17</v>
      </c>
    </row>
    <row r="35" spans="1:6" x14ac:dyDescent="0.2">
      <c r="A35" t="s">
        <v>322</v>
      </c>
      <c r="B35">
        <v>16</v>
      </c>
      <c r="C35" t="s">
        <v>321</v>
      </c>
      <c r="D35" t="s">
        <v>334</v>
      </c>
      <c r="E35">
        <v>1</v>
      </c>
      <c r="F35" t="str">
        <v>VE_Q16</v>
      </c>
    </row>
    <row r="36" spans="1:6" x14ac:dyDescent="0.2">
      <c r="A36" t="s">
        <v>322</v>
      </c>
      <c r="B36">
        <v>16</v>
      </c>
      <c r="C36" t="s">
        <v>321</v>
      </c>
      <c r="D36" t="s">
        <v>337</v>
      </c>
      <c r="E36">
        <v>1</v>
      </c>
      <c r="F36" t="str">
        <v>VE_Q16</v>
      </c>
    </row>
    <row r="37" spans="1:6" x14ac:dyDescent="0.2">
      <c r="A37" t="s">
        <v>322</v>
      </c>
      <c r="B37">
        <v>16</v>
      </c>
      <c r="C37" t="s">
        <v>321</v>
      </c>
      <c r="D37" t="s">
        <v>338</v>
      </c>
      <c r="E37">
        <v>1</v>
      </c>
      <c r="F37" t="str">
        <v>VE_Q16</v>
      </c>
    </row>
    <row r="38" spans="1:6" x14ac:dyDescent="0.2">
      <c r="A38" t="s">
        <v>322</v>
      </c>
      <c r="B38">
        <v>16</v>
      </c>
      <c r="C38" t="s">
        <v>321</v>
      </c>
      <c r="D38" t="s">
        <v>353</v>
      </c>
      <c r="E38">
        <v>1</v>
      </c>
      <c r="F38" t="str">
        <v>VE_Q16</v>
      </c>
    </row>
    <row r="39" spans="1:6" x14ac:dyDescent="0.2">
      <c r="A39" t="s">
        <v>322</v>
      </c>
      <c r="B39">
        <v>16</v>
      </c>
      <c r="C39" t="s">
        <v>321</v>
      </c>
      <c r="D39" t="s">
        <v>336</v>
      </c>
      <c r="E39">
        <v>1</v>
      </c>
      <c r="F39" t="str">
        <v>VE_Q16</v>
      </c>
    </row>
    <row r="40" spans="1:6" x14ac:dyDescent="0.2">
      <c r="A40" t="s">
        <v>322</v>
      </c>
      <c r="B40">
        <v>16</v>
      </c>
      <c r="C40" t="s">
        <v>321</v>
      </c>
      <c r="D40" t="s">
        <v>351</v>
      </c>
      <c r="E40">
        <v>1</v>
      </c>
      <c r="F40" t="str">
        <v>VE_Q16</v>
      </c>
    </row>
    <row r="41" spans="1:6" x14ac:dyDescent="0.2">
      <c r="A41" t="s">
        <v>322</v>
      </c>
      <c r="B41">
        <v>14</v>
      </c>
      <c r="C41" t="s">
        <v>321</v>
      </c>
      <c r="D41" t="s">
        <v>352</v>
      </c>
      <c r="E41">
        <v>1</v>
      </c>
      <c r="F41" t="str">
        <v>VE_Q14</v>
      </c>
    </row>
    <row r="42" spans="1:6" x14ac:dyDescent="0.2">
      <c r="A42" t="s">
        <v>322</v>
      </c>
      <c r="B42">
        <v>13</v>
      </c>
      <c r="C42" t="s">
        <v>321</v>
      </c>
      <c r="D42" t="s">
        <v>354</v>
      </c>
      <c r="E42">
        <v>1</v>
      </c>
      <c r="F42" t="str">
        <v>VE_Q13</v>
      </c>
    </row>
    <row r="43" spans="1:6" x14ac:dyDescent="0.2">
      <c r="A43" t="s">
        <v>322</v>
      </c>
      <c r="B43">
        <v>1</v>
      </c>
      <c r="C43" t="s">
        <v>321</v>
      </c>
      <c r="D43" t="s">
        <v>352</v>
      </c>
      <c r="E43">
        <v>1</v>
      </c>
      <c r="F43" t="str">
        <v>VE_Q1</v>
      </c>
    </row>
    <row r="44" spans="1:6" x14ac:dyDescent="0.2">
      <c r="A44" t="s">
        <v>322</v>
      </c>
      <c r="B44">
        <v>9</v>
      </c>
      <c r="C44" t="s">
        <v>321</v>
      </c>
      <c r="D44" t="s">
        <v>355</v>
      </c>
      <c r="E44">
        <v>1</v>
      </c>
      <c r="F44" t="str">
        <v>VE_Q9</v>
      </c>
    </row>
    <row r="45" spans="1:6" x14ac:dyDescent="0.2">
      <c r="A45" t="s">
        <v>322</v>
      </c>
      <c r="B45">
        <v>7</v>
      </c>
      <c r="C45" t="s">
        <v>321</v>
      </c>
      <c r="D45" t="s">
        <v>355</v>
      </c>
      <c r="E45">
        <v>1</v>
      </c>
      <c r="F45" t="str">
        <v>VE_Q7</v>
      </c>
    </row>
    <row r="46" spans="1:6" x14ac:dyDescent="0.2">
      <c r="A46" t="s">
        <v>322</v>
      </c>
      <c r="B46">
        <v>1</v>
      </c>
      <c r="C46" t="s">
        <v>321</v>
      </c>
      <c r="D46" t="s">
        <v>353</v>
      </c>
      <c r="E46">
        <v>1</v>
      </c>
      <c r="F46" t="str">
        <v>VE_Q1</v>
      </c>
    </row>
    <row r="47" spans="1:6" x14ac:dyDescent="0.2">
      <c r="A47" t="s">
        <v>322</v>
      </c>
      <c r="B47">
        <v>1</v>
      </c>
      <c r="C47" t="s">
        <v>321</v>
      </c>
      <c r="D47" t="s">
        <v>337</v>
      </c>
      <c r="E47">
        <v>1</v>
      </c>
      <c r="F47" t="str">
        <v>VE_Q1</v>
      </c>
    </row>
    <row r="48" spans="1:6" x14ac:dyDescent="0.2">
      <c r="A48" t="s">
        <v>322</v>
      </c>
      <c r="B48">
        <v>1</v>
      </c>
      <c r="C48" t="s">
        <v>321</v>
      </c>
      <c r="D48" t="s">
        <v>338</v>
      </c>
      <c r="E48">
        <v>1</v>
      </c>
      <c r="F48" t="str">
        <v>VE_Q1</v>
      </c>
    </row>
    <row r="49" spans="1:6" x14ac:dyDescent="0.2">
      <c r="A49" t="s">
        <v>322</v>
      </c>
      <c r="B49">
        <v>1</v>
      </c>
      <c r="C49" t="s">
        <v>321</v>
      </c>
      <c r="D49" t="s">
        <v>341</v>
      </c>
      <c r="E49">
        <v>1</v>
      </c>
      <c r="F49" t="str">
        <v>VE_Q1</v>
      </c>
    </row>
    <row r="50" spans="1:6" x14ac:dyDescent="0.2">
      <c r="A50" t="s">
        <v>322</v>
      </c>
      <c r="B50">
        <v>3</v>
      </c>
      <c r="C50" t="s">
        <v>321</v>
      </c>
      <c r="D50" t="s">
        <v>346</v>
      </c>
      <c r="E50">
        <v>1</v>
      </c>
      <c r="F50" t="str">
        <v>VE_Q3</v>
      </c>
    </row>
    <row r="51" spans="1:6" x14ac:dyDescent="0.2">
      <c r="A51" t="s">
        <v>322</v>
      </c>
      <c r="B51">
        <v>4</v>
      </c>
      <c r="C51" t="s">
        <v>321</v>
      </c>
      <c r="D51" t="s">
        <v>356</v>
      </c>
      <c r="E51">
        <v>1</v>
      </c>
      <c r="F51" t="str">
        <v>VE_Q4</v>
      </c>
    </row>
    <row r="52" spans="1:6" x14ac:dyDescent="0.2">
      <c r="A52" t="s">
        <v>322</v>
      </c>
      <c r="B52">
        <v>6</v>
      </c>
      <c r="C52" t="s">
        <v>321</v>
      </c>
      <c r="D52" t="s">
        <v>347</v>
      </c>
      <c r="E52">
        <v>1</v>
      </c>
      <c r="F52" t="str">
        <v>VE_Q6</v>
      </c>
    </row>
    <row r="53" spans="1:6" x14ac:dyDescent="0.2">
      <c r="A53" t="s">
        <v>322</v>
      </c>
      <c r="B53">
        <v>6</v>
      </c>
      <c r="C53" t="s">
        <v>321</v>
      </c>
      <c r="D53" t="s">
        <v>357</v>
      </c>
      <c r="E53">
        <v>1</v>
      </c>
      <c r="F53" t="str">
        <v>VE_Q6</v>
      </c>
    </row>
    <row r="54" spans="1:6" x14ac:dyDescent="0.2">
      <c r="A54" t="s">
        <v>324</v>
      </c>
      <c r="B54">
        <v>10</v>
      </c>
      <c r="C54" t="s">
        <v>323</v>
      </c>
      <c r="D54" t="s">
        <v>350</v>
      </c>
      <c r="E54">
        <v>1</v>
      </c>
      <c r="F54" t="str">
        <v>INE_Q10</v>
      </c>
    </row>
    <row r="55" spans="1:6" x14ac:dyDescent="0.2">
      <c r="A55" t="s">
        <v>324</v>
      </c>
      <c r="B55">
        <v>10</v>
      </c>
      <c r="C55" t="s">
        <v>323</v>
      </c>
      <c r="D55" t="s">
        <v>349</v>
      </c>
      <c r="E55">
        <v>1</v>
      </c>
      <c r="F55" t="str">
        <v>INE_Q10</v>
      </c>
    </row>
    <row r="56" spans="1:6" x14ac:dyDescent="0.2">
      <c r="A56" t="s">
        <v>324</v>
      </c>
      <c r="B56">
        <v>13</v>
      </c>
      <c r="C56" t="s">
        <v>323</v>
      </c>
      <c r="D56" t="s">
        <v>349</v>
      </c>
      <c r="E56">
        <v>1</v>
      </c>
      <c r="F56" t="str">
        <v>INE_Q13</v>
      </c>
    </row>
    <row r="57" spans="1:6" x14ac:dyDescent="0.2">
      <c r="A57" t="s">
        <v>324</v>
      </c>
      <c r="B57">
        <v>13</v>
      </c>
      <c r="C57" t="s">
        <v>323</v>
      </c>
      <c r="D57" t="s">
        <v>329</v>
      </c>
      <c r="E57">
        <v>1</v>
      </c>
      <c r="F57" t="str">
        <v>INE_Q13</v>
      </c>
    </row>
    <row r="58" spans="1:6" x14ac:dyDescent="0.2">
      <c r="A58" t="s">
        <v>324</v>
      </c>
      <c r="B58">
        <v>13</v>
      </c>
      <c r="C58" t="s">
        <v>323</v>
      </c>
      <c r="D58" t="s">
        <v>330</v>
      </c>
      <c r="E58">
        <v>1</v>
      </c>
      <c r="F58" t="str">
        <v>INE_Q13</v>
      </c>
    </row>
    <row r="59" spans="1:6" x14ac:dyDescent="0.2">
      <c r="A59" t="s">
        <v>324</v>
      </c>
      <c r="B59">
        <v>14</v>
      </c>
      <c r="C59" t="s">
        <v>323</v>
      </c>
      <c r="D59" t="s">
        <v>358</v>
      </c>
      <c r="E59">
        <v>1</v>
      </c>
      <c r="F59" t="str">
        <v>INE_Q14</v>
      </c>
    </row>
    <row r="60" spans="1:6" x14ac:dyDescent="0.2">
      <c r="A60" t="s">
        <v>324</v>
      </c>
      <c r="B60">
        <v>5</v>
      </c>
      <c r="C60" t="s">
        <v>323</v>
      </c>
      <c r="D60" t="s">
        <v>347</v>
      </c>
      <c r="E60">
        <v>1</v>
      </c>
      <c r="F60" t="str">
        <v>INE_Q5</v>
      </c>
    </row>
    <row r="61" spans="1:6" x14ac:dyDescent="0.2">
      <c r="A61" t="s">
        <v>324</v>
      </c>
      <c r="B61">
        <v>6</v>
      </c>
      <c r="C61" t="s">
        <v>323</v>
      </c>
      <c r="D61" t="s">
        <v>327</v>
      </c>
      <c r="E61">
        <v>1</v>
      </c>
      <c r="F61" t="str">
        <v>INE_Q6</v>
      </c>
    </row>
    <row r="62" spans="1:6" x14ac:dyDescent="0.2">
      <c r="A62" t="s">
        <v>324</v>
      </c>
      <c r="B62">
        <v>7</v>
      </c>
      <c r="C62" t="s">
        <v>323</v>
      </c>
      <c r="D62" t="s">
        <v>347</v>
      </c>
      <c r="E62">
        <v>1</v>
      </c>
      <c r="F62" t="str">
        <v>INE_Q7</v>
      </c>
    </row>
    <row r="63" spans="1:6" x14ac:dyDescent="0.2">
      <c r="A63" t="s">
        <v>324</v>
      </c>
      <c r="B63">
        <v>9</v>
      </c>
      <c r="C63" t="s">
        <v>323</v>
      </c>
      <c r="D63" t="s">
        <v>348</v>
      </c>
      <c r="E63">
        <v>1</v>
      </c>
      <c r="F63" t="str">
        <v>INE_Q9</v>
      </c>
    </row>
    <row r="64" spans="1:6" x14ac:dyDescent="0.2">
      <c r="A64" t="s">
        <v>324</v>
      </c>
      <c r="B64">
        <v>5</v>
      </c>
      <c r="C64" t="s">
        <v>323</v>
      </c>
      <c r="D64" t="s">
        <v>346</v>
      </c>
      <c r="E64">
        <v>1</v>
      </c>
      <c r="F64" t="str">
        <v>INE_Q5</v>
      </c>
    </row>
    <row r="65" spans="1:6" x14ac:dyDescent="0.2">
      <c r="A65" t="s">
        <v>324</v>
      </c>
      <c r="B65">
        <v>3</v>
      </c>
      <c r="C65" t="s">
        <v>323</v>
      </c>
      <c r="D65" t="s">
        <v>345</v>
      </c>
      <c r="E65">
        <v>1</v>
      </c>
      <c r="F65" t="str">
        <v>INE_Q3</v>
      </c>
    </row>
    <row r="66" spans="1:6" x14ac:dyDescent="0.2">
      <c r="A66" t="s">
        <v>324</v>
      </c>
      <c r="B66">
        <v>3</v>
      </c>
      <c r="C66" t="s">
        <v>323</v>
      </c>
      <c r="D66" t="s">
        <v>344</v>
      </c>
      <c r="E66">
        <v>1</v>
      </c>
      <c r="F66" t="str">
        <v>INE_Q3</v>
      </c>
    </row>
    <row r="67" spans="1:6" x14ac:dyDescent="0.2">
      <c r="A67" t="s">
        <v>324</v>
      </c>
      <c r="B67">
        <v>3</v>
      </c>
      <c r="C67" t="s">
        <v>323</v>
      </c>
      <c r="D67" t="s">
        <v>341</v>
      </c>
      <c r="E67">
        <v>1</v>
      </c>
      <c r="F67" t="str">
        <v>INE_Q3</v>
      </c>
    </row>
    <row r="68" spans="1:6" x14ac:dyDescent="0.2">
      <c r="A68" t="s">
        <v>324</v>
      </c>
      <c r="B68">
        <v>1</v>
      </c>
      <c r="C68" t="s">
        <v>323</v>
      </c>
      <c r="D68" t="s">
        <v>342</v>
      </c>
      <c r="E68">
        <v>1</v>
      </c>
      <c r="F68" t="str">
        <v>INE_Q1</v>
      </c>
    </row>
    <row r="69" spans="1:6" x14ac:dyDescent="0.2">
      <c r="A69" t="s">
        <v>324</v>
      </c>
      <c r="B69">
        <v>1</v>
      </c>
      <c r="C69" t="s">
        <v>323</v>
      </c>
      <c r="D69" t="s">
        <v>341</v>
      </c>
      <c r="E69">
        <v>1</v>
      </c>
      <c r="F69" t="str">
        <v>INE_Q1</v>
      </c>
    </row>
    <row r="70" spans="1:6" x14ac:dyDescent="0.2">
      <c r="A70" t="s">
        <v>324</v>
      </c>
      <c r="B70">
        <v>15</v>
      </c>
      <c r="C70" t="s">
        <v>323</v>
      </c>
      <c r="D70" t="s">
        <v>359</v>
      </c>
      <c r="E70">
        <v>1</v>
      </c>
      <c r="F70" t="str">
        <v>INE_Q15</v>
      </c>
    </row>
    <row r="71" spans="1:6" x14ac:dyDescent="0.2">
      <c r="A71" t="s">
        <v>324</v>
      </c>
      <c r="B71">
        <v>17</v>
      </c>
      <c r="C71" t="s">
        <v>323</v>
      </c>
      <c r="D71" t="s">
        <v>331</v>
      </c>
      <c r="E71">
        <v>1</v>
      </c>
      <c r="F71" t="str">
        <v>INE_Q17</v>
      </c>
    </row>
    <row r="72" spans="1:6" x14ac:dyDescent="0.2">
      <c r="A72" t="s">
        <v>324</v>
      </c>
      <c r="B72">
        <v>18</v>
      </c>
      <c r="C72" t="s">
        <v>323</v>
      </c>
      <c r="D72" t="s">
        <v>347</v>
      </c>
      <c r="E72">
        <v>1</v>
      </c>
      <c r="F72" t="str">
        <v>INE_Q18</v>
      </c>
    </row>
    <row r="73" spans="1:6" x14ac:dyDescent="0.2">
      <c r="A73" t="s">
        <v>324</v>
      </c>
      <c r="B73">
        <v>18</v>
      </c>
      <c r="C73" t="s">
        <v>323</v>
      </c>
      <c r="D73" t="s">
        <v>332</v>
      </c>
      <c r="E73">
        <v>1</v>
      </c>
      <c r="F73" t="str">
        <v>INE_Q18</v>
      </c>
    </row>
    <row r="74" spans="1:6" x14ac:dyDescent="0.2">
      <c r="A74" t="s">
        <v>324</v>
      </c>
      <c r="B74">
        <v>19</v>
      </c>
      <c r="C74" t="s">
        <v>323</v>
      </c>
      <c r="D74" t="s">
        <v>334</v>
      </c>
      <c r="E74">
        <v>1</v>
      </c>
      <c r="F74" t="str">
        <v>INE_Q19</v>
      </c>
    </row>
    <row r="75" spans="1:6" x14ac:dyDescent="0.2">
      <c r="A75" t="s">
        <v>324</v>
      </c>
      <c r="B75">
        <v>19</v>
      </c>
      <c r="C75" t="s">
        <v>323</v>
      </c>
      <c r="D75" t="s">
        <v>341</v>
      </c>
      <c r="E75">
        <v>1</v>
      </c>
      <c r="F75" t="str">
        <v>INE_Q19</v>
      </c>
    </row>
    <row r="76" spans="1:6" x14ac:dyDescent="0.2">
      <c r="A76" t="s">
        <v>324</v>
      </c>
      <c r="B76">
        <v>20</v>
      </c>
      <c r="C76" t="s">
        <v>323</v>
      </c>
      <c r="D76" t="s">
        <v>336</v>
      </c>
      <c r="E76">
        <v>1</v>
      </c>
      <c r="F76" t="str">
        <v>INE_Q20</v>
      </c>
    </row>
    <row r="77" spans="1:6" x14ac:dyDescent="0.2">
      <c r="A77" t="s">
        <v>324</v>
      </c>
      <c r="B77">
        <v>20</v>
      </c>
      <c r="C77" t="s">
        <v>323</v>
      </c>
      <c r="D77" t="s">
        <v>353</v>
      </c>
      <c r="E77">
        <v>1</v>
      </c>
      <c r="F77" t="str">
        <v>INE_Q20</v>
      </c>
    </row>
    <row r="78" spans="1:6" x14ac:dyDescent="0.2">
      <c r="A78" t="s">
        <v>324</v>
      </c>
      <c r="B78">
        <v>20</v>
      </c>
      <c r="C78" t="s">
        <v>323</v>
      </c>
      <c r="D78" t="s">
        <v>360</v>
      </c>
      <c r="E78">
        <v>1</v>
      </c>
      <c r="F78" t="str">
        <v>INE_Q20</v>
      </c>
    </row>
    <row r="79" spans="1:6" x14ac:dyDescent="0.2">
      <c r="A79" t="s">
        <v>324</v>
      </c>
      <c r="B79">
        <v>20</v>
      </c>
      <c r="C79" t="s">
        <v>323</v>
      </c>
      <c r="D79" t="s">
        <v>335</v>
      </c>
      <c r="E79">
        <v>1</v>
      </c>
      <c r="F79" t="str">
        <v>INE_Q20</v>
      </c>
    </row>
    <row r="80" spans="1:6" x14ac:dyDescent="0.2">
      <c r="A80" t="s">
        <v>324</v>
      </c>
      <c r="B80">
        <v>21</v>
      </c>
      <c r="C80" t="s">
        <v>323</v>
      </c>
      <c r="D80" t="s">
        <v>339</v>
      </c>
      <c r="E80">
        <v>1</v>
      </c>
      <c r="F80" t="str">
        <v>INE_Q21</v>
      </c>
    </row>
    <row r="81" spans="1:6" x14ac:dyDescent="0.2">
      <c r="A81" t="s">
        <v>322</v>
      </c>
      <c r="B81">
        <v>6</v>
      </c>
      <c r="C81" t="s">
        <v>323</v>
      </c>
      <c r="D81" t="s">
        <v>357</v>
      </c>
      <c r="E81">
        <v>1</v>
      </c>
      <c r="F81" t="str">
        <v>VE_Q6</v>
      </c>
    </row>
    <row r="82" spans="1:6" x14ac:dyDescent="0.2">
      <c r="A82" t="s">
        <v>322</v>
      </c>
      <c r="B82">
        <v>6</v>
      </c>
      <c r="C82" t="s">
        <v>323</v>
      </c>
      <c r="D82" t="s">
        <v>347</v>
      </c>
      <c r="E82">
        <v>1</v>
      </c>
      <c r="F82" t="str">
        <v>VE_Q6</v>
      </c>
    </row>
    <row r="83" spans="1:6" x14ac:dyDescent="0.2">
      <c r="A83" t="s">
        <v>322</v>
      </c>
      <c r="B83">
        <v>4</v>
      </c>
      <c r="C83" t="s">
        <v>323</v>
      </c>
      <c r="D83" t="s">
        <v>356</v>
      </c>
      <c r="E83">
        <v>1</v>
      </c>
      <c r="F83" t="str">
        <v>VE_Q4</v>
      </c>
    </row>
    <row r="84" spans="1:6" x14ac:dyDescent="0.2">
      <c r="A84" t="s">
        <v>322</v>
      </c>
      <c r="B84">
        <v>3</v>
      </c>
      <c r="C84" t="s">
        <v>323</v>
      </c>
      <c r="D84" t="s">
        <v>346</v>
      </c>
      <c r="E84">
        <v>1</v>
      </c>
      <c r="F84" t="str">
        <v>VE_Q3</v>
      </c>
    </row>
    <row r="85" spans="1:6" x14ac:dyDescent="0.2">
      <c r="A85" t="s">
        <v>322</v>
      </c>
      <c r="B85">
        <v>1</v>
      </c>
      <c r="C85" t="s">
        <v>323</v>
      </c>
      <c r="D85" t="s">
        <v>353</v>
      </c>
      <c r="E85">
        <v>1</v>
      </c>
      <c r="F85" t="str">
        <v>VE_Q1</v>
      </c>
    </row>
    <row r="86" spans="1:6" x14ac:dyDescent="0.2">
      <c r="A86" t="s">
        <v>322</v>
      </c>
      <c r="B86">
        <v>1</v>
      </c>
      <c r="C86" t="s">
        <v>323</v>
      </c>
      <c r="D86" t="s">
        <v>352</v>
      </c>
      <c r="E86">
        <v>1</v>
      </c>
      <c r="F86" t="str">
        <v>VE_Q1</v>
      </c>
    </row>
    <row r="87" spans="1:6" x14ac:dyDescent="0.2">
      <c r="A87" t="s">
        <v>322</v>
      </c>
      <c r="B87">
        <v>1</v>
      </c>
      <c r="C87" t="s">
        <v>323</v>
      </c>
      <c r="D87" t="s">
        <v>361</v>
      </c>
      <c r="E87">
        <v>1</v>
      </c>
      <c r="F87" t="str">
        <v>VE_Q1</v>
      </c>
    </row>
    <row r="88" spans="1:6" x14ac:dyDescent="0.2">
      <c r="A88" t="s">
        <v>322</v>
      </c>
      <c r="B88">
        <v>7</v>
      </c>
      <c r="C88" t="s">
        <v>323</v>
      </c>
      <c r="D88" t="s">
        <v>362</v>
      </c>
      <c r="E88">
        <v>1</v>
      </c>
      <c r="F88" t="str">
        <v>VE_Q7</v>
      </c>
    </row>
    <row r="89" spans="1:6" x14ac:dyDescent="0.2">
      <c r="A89" t="s">
        <v>322</v>
      </c>
      <c r="B89">
        <v>8</v>
      </c>
      <c r="C89" t="s">
        <v>323</v>
      </c>
      <c r="D89" t="s">
        <v>363</v>
      </c>
      <c r="E89">
        <v>1</v>
      </c>
      <c r="F89" t="str">
        <v>VE_Q8</v>
      </c>
    </row>
    <row r="90" spans="1:6" x14ac:dyDescent="0.2">
      <c r="A90" t="s">
        <v>322</v>
      </c>
      <c r="B90">
        <v>9</v>
      </c>
      <c r="C90" t="s">
        <v>323</v>
      </c>
      <c r="D90" t="s">
        <v>355</v>
      </c>
      <c r="E90">
        <v>1</v>
      </c>
      <c r="F90" t="str">
        <v>VE_Q9</v>
      </c>
    </row>
    <row r="91" spans="1:6" x14ac:dyDescent="0.2">
      <c r="A91" t="s">
        <v>322</v>
      </c>
      <c r="B91">
        <v>10</v>
      </c>
      <c r="C91" t="s">
        <v>323</v>
      </c>
      <c r="D91" t="s">
        <v>352</v>
      </c>
      <c r="E91">
        <v>1</v>
      </c>
      <c r="F91" t="str">
        <v>VE_Q10</v>
      </c>
    </row>
    <row r="92" spans="1:6" x14ac:dyDescent="0.2">
      <c r="A92" t="s">
        <v>322</v>
      </c>
      <c r="B92">
        <v>11</v>
      </c>
      <c r="C92" t="s">
        <v>323</v>
      </c>
      <c r="D92" t="s">
        <v>364</v>
      </c>
      <c r="E92">
        <v>1</v>
      </c>
      <c r="F92" t="str">
        <v>VE_Q11</v>
      </c>
    </row>
    <row r="93" spans="1:6" x14ac:dyDescent="0.2">
      <c r="A93" t="s">
        <v>322</v>
      </c>
      <c r="B93">
        <v>13</v>
      </c>
      <c r="C93" t="s">
        <v>323</v>
      </c>
      <c r="D93" t="s">
        <v>354</v>
      </c>
      <c r="E93">
        <v>1</v>
      </c>
      <c r="F93" t="str">
        <v>VE_Q13</v>
      </c>
    </row>
    <row r="94" spans="1:6" x14ac:dyDescent="0.2">
      <c r="A94" t="s">
        <v>322</v>
      </c>
      <c r="B94">
        <v>14</v>
      </c>
      <c r="C94" t="s">
        <v>323</v>
      </c>
      <c r="D94" t="s">
        <v>352</v>
      </c>
      <c r="E94">
        <v>1</v>
      </c>
      <c r="F94" t="str">
        <v>VE_Q14</v>
      </c>
    </row>
    <row r="95" spans="1:6" x14ac:dyDescent="0.2">
      <c r="A95" t="s">
        <v>322</v>
      </c>
      <c r="B95">
        <v>16</v>
      </c>
      <c r="C95" t="s">
        <v>323</v>
      </c>
      <c r="D95" t="s">
        <v>336</v>
      </c>
      <c r="E95">
        <v>1</v>
      </c>
      <c r="F95" t="str">
        <v>VE_Q16</v>
      </c>
    </row>
    <row r="96" spans="1:6" x14ac:dyDescent="0.2">
      <c r="A96" t="s">
        <v>322</v>
      </c>
      <c r="B96">
        <v>17</v>
      </c>
      <c r="C96" t="s">
        <v>323</v>
      </c>
      <c r="D96" t="s">
        <v>363</v>
      </c>
      <c r="E96">
        <v>1</v>
      </c>
      <c r="F96" t="str">
        <v>VE_Q17</v>
      </c>
    </row>
    <row r="97" spans="1:6" x14ac:dyDescent="0.2">
      <c r="A97" t="s">
        <v>322</v>
      </c>
      <c r="B97">
        <v>18</v>
      </c>
      <c r="C97" t="s">
        <v>323</v>
      </c>
      <c r="D97" t="s">
        <v>355</v>
      </c>
      <c r="E97">
        <v>1</v>
      </c>
      <c r="F97" t="str">
        <v>VE_Q18</v>
      </c>
    </row>
    <row r="98" spans="1:6" x14ac:dyDescent="0.2">
      <c r="A98" t="s">
        <v>322</v>
      </c>
      <c r="B98">
        <v>19</v>
      </c>
      <c r="C98" t="s">
        <v>323</v>
      </c>
      <c r="D98" t="s">
        <v>339</v>
      </c>
      <c r="E98">
        <v>1</v>
      </c>
      <c r="F98" t="str">
        <v>VE_Q19</v>
      </c>
    </row>
    <row r="99" spans="1:6" x14ac:dyDescent="0.2">
      <c r="A99" t="s">
        <v>322</v>
      </c>
      <c r="B99">
        <v>20</v>
      </c>
      <c r="C99" t="s">
        <v>323</v>
      </c>
      <c r="D99" t="s">
        <v>332</v>
      </c>
      <c r="E99">
        <v>1</v>
      </c>
      <c r="F99" t="str">
        <v>VE_Q20</v>
      </c>
    </row>
  </sheetData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3A71C-9174-8647-8CE4-FEE81152CD2C}">
  <dimension ref="A1:AF32"/>
  <sheetViews>
    <sheetView zoomScale="120" zoomScaleNormal="120" workbookViewId="0">
      <selection activeCell="AF9" sqref="AF9"/>
    </sheetView>
  </sheetViews>
  <sheetFormatPr baseColWidth="10" defaultRowHeight="15" x14ac:dyDescent="0.2"/>
  <sheetData>
    <row r="1" spans="1:32" x14ac:dyDescent="0.2">
      <c r="A1" s="20" t="s">
        <v>367</v>
      </c>
      <c r="B1" s="17" t="s">
        <v>358</v>
      </c>
      <c r="C1" s="17" t="s">
        <v>364</v>
      </c>
      <c r="D1" s="17" t="s">
        <v>329</v>
      </c>
      <c r="E1" s="17" t="s">
        <v>354</v>
      </c>
      <c r="F1" s="17" t="s">
        <v>359</v>
      </c>
      <c r="G1" s="17" t="s">
        <v>342</v>
      </c>
      <c r="H1" s="17" t="s">
        <v>341</v>
      </c>
      <c r="I1" s="17" t="s">
        <v>361</v>
      </c>
      <c r="J1" s="17" t="s">
        <v>345</v>
      </c>
      <c r="K1" s="17" t="s">
        <v>356</v>
      </c>
      <c r="L1" s="17" t="s">
        <v>335</v>
      </c>
      <c r="M1" s="17" t="s">
        <v>360</v>
      </c>
      <c r="N1" s="17" t="s">
        <v>353</v>
      </c>
      <c r="O1" s="17" t="s">
        <v>363</v>
      </c>
      <c r="P1" s="17" t="s">
        <v>352</v>
      </c>
      <c r="Q1" s="17" t="s">
        <v>362</v>
      </c>
      <c r="R1" s="17" t="s">
        <v>355</v>
      </c>
      <c r="S1" s="17" t="s">
        <v>348</v>
      </c>
      <c r="T1" s="17" t="s">
        <v>334</v>
      </c>
      <c r="U1" s="17" t="s">
        <v>336</v>
      </c>
      <c r="V1" s="17" t="s">
        <v>350</v>
      </c>
      <c r="W1" s="17" t="s">
        <v>349</v>
      </c>
      <c r="X1" s="17" t="s">
        <v>327</v>
      </c>
      <c r="Y1" s="17" t="s">
        <v>344</v>
      </c>
      <c r="Z1" s="17" t="s">
        <v>347</v>
      </c>
      <c r="AA1" s="17" t="s">
        <v>346</v>
      </c>
      <c r="AB1" s="17" t="s">
        <v>330</v>
      </c>
      <c r="AC1" s="17" t="s">
        <v>357</v>
      </c>
      <c r="AD1" s="17" t="s">
        <v>331</v>
      </c>
      <c r="AE1" s="17" t="s">
        <v>332</v>
      </c>
      <c r="AF1" s="17" t="s">
        <v>339</v>
      </c>
    </row>
    <row r="2" spans="1:32" x14ac:dyDescent="0.2">
      <c r="A2" t="s">
        <v>368</v>
      </c>
      <c r="B2" s="18">
        <v>0</v>
      </c>
      <c r="C2" s="18">
        <v>0</v>
      </c>
      <c r="D2" s="18">
        <v>0</v>
      </c>
      <c r="E2" s="18">
        <v>0</v>
      </c>
      <c r="F2" s="18">
        <v>0</v>
      </c>
      <c r="G2" s="18">
        <v>1</v>
      </c>
      <c r="H2" s="18">
        <v>1</v>
      </c>
      <c r="I2" s="18">
        <v>0</v>
      </c>
      <c r="J2" s="18">
        <v>0</v>
      </c>
      <c r="K2" s="18">
        <v>0</v>
      </c>
      <c r="L2" s="18">
        <v>0</v>
      </c>
      <c r="M2" s="18">
        <v>0</v>
      </c>
      <c r="N2" s="18">
        <v>0</v>
      </c>
      <c r="O2" s="18">
        <v>0</v>
      </c>
      <c r="P2" s="18">
        <v>0</v>
      </c>
      <c r="Q2" s="18">
        <v>0</v>
      </c>
      <c r="R2" s="18">
        <v>0</v>
      </c>
      <c r="S2" s="18">
        <v>0</v>
      </c>
      <c r="T2" s="18">
        <v>0</v>
      </c>
      <c r="U2" s="18">
        <v>0</v>
      </c>
      <c r="V2" s="18">
        <v>0</v>
      </c>
      <c r="W2" s="18">
        <v>0</v>
      </c>
      <c r="X2" s="18">
        <v>0</v>
      </c>
      <c r="Y2" s="18">
        <v>0</v>
      </c>
      <c r="Z2" s="18">
        <v>0</v>
      </c>
      <c r="AA2" s="18">
        <v>0</v>
      </c>
      <c r="AB2" s="18">
        <v>0</v>
      </c>
      <c r="AC2" s="18">
        <v>0</v>
      </c>
      <c r="AD2" s="18">
        <v>0</v>
      </c>
      <c r="AE2" s="18">
        <v>0</v>
      </c>
      <c r="AF2" s="18">
        <v>0</v>
      </c>
    </row>
    <row r="3" spans="1:32" x14ac:dyDescent="0.2">
      <c r="A3" t="s">
        <v>369</v>
      </c>
      <c r="B3" s="18">
        <v>0</v>
      </c>
      <c r="C3" s="18">
        <v>0</v>
      </c>
      <c r="D3" s="18">
        <v>0</v>
      </c>
      <c r="E3" s="18">
        <v>0</v>
      </c>
      <c r="F3" s="18">
        <v>0</v>
      </c>
      <c r="G3" s="18">
        <v>0</v>
      </c>
      <c r="H3" s="18">
        <v>0</v>
      </c>
      <c r="I3" s="18">
        <v>0</v>
      </c>
      <c r="J3" s="18">
        <v>0</v>
      </c>
      <c r="K3" s="18">
        <v>0</v>
      </c>
      <c r="L3" s="18">
        <v>0</v>
      </c>
      <c r="M3" s="18">
        <v>0</v>
      </c>
      <c r="N3" s="18">
        <v>0</v>
      </c>
      <c r="O3" s="18">
        <v>0</v>
      </c>
      <c r="P3" s="18">
        <v>0</v>
      </c>
      <c r="Q3" s="18">
        <v>0</v>
      </c>
      <c r="R3" s="18">
        <v>0</v>
      </c>
      <c r="S3" s="18">
        <v>0</v>
      </c>
      <c r="T3" s="18">
        <v>0</v>
      </c>
      <c r="U3" s="18">
        <v>0</v>
      </c>
      <c r="V3" s="18">
        <v>1</v>
      </c>
      <c r="W3" s="18">
        <v>1</v>
      </c>
      <c r="X3" s="18">
        <v>0</v>
      </c>
      <c r="Y3" s="18">
        <v>0</v>
      </c>
      <c r="Z3" s="18">
        <v>0</v>
      </c>
      <c r="AA3" s="18">
        <v>0</v>
      </c>
      <c r="AB3" s="18">
        <v>0</v>
      </c>
      <c r="AC3" s="18">
        <v>0</v>
      </c>
      <c r="AD3" s="18">
        <v>0</v>
      </c>
      <c r="AE3" s="18">
        <v>0</v>
      </c>
      <c r="AF3" s="18">
        <v>0</v>
      </c>
    </row>
    <row r="4" spans="1:32" x14ac:dyDescent="0.2">
      <c r="A4" t="s">
        <v>371</v>
      </c>
      <c r="B4" s="18">
        <v>0</v>
      </c>
      <c r="C4" s="18">
        <v>0</v>
      </c>
      <c r="D4" s="18">
        <v>1</v>
      </c>
      <c r="E4" s="18">
        <v>0</v>
      </c>
      <c r="F4" s="18">
        <v>0</v>
      </c>
      <c r="G4" s="18">
        <v>0</v>
      </c>
      <c r="H4" s="18">
        <v>0</v>
      </c>
      <c r="I4" s="18">
        <v>0</v>
      </c>
      <c r="J4" s="18">
        <v>0</v>
      </c>
      <c r="K4" s="18">
        <v>0</v>
      </c>
      <c r="L4" s="18">
        <v>0</v>
      </c>
      <c r="M4" s="18">
        <v>0</v>
      </c>
      <c r="N4" s="18">
        <v>0</v>
      </c>
      <c r="O4" s="18">
        <v>0</v>
      </c>
      <c r="P4" s="18">
        <v>0</v>
      </c>
      <c r="Q4" s="18">
        <v>0</v>
      </c>
      <c r="R4" s="18">
        <v>0</v>
      </c>
      <c r="S4" s="18">
        <v>0</v>
      </c>
      <c r="T4" s="18">
        <v>0</v>
      </c>
      <c r="U4" s="18">
        <v>0</v>
      </c>
      <c r="V4" s="18">
        <v>0</v>
      </c>
      <c r="W4" s="18">
        <v>1</v>
      </c>
      <c r="X4" s="18">
        <v>0</v>
      </c>
      <c r="Y4" s="18">
        <v>0</v>
      </c>
      <c r="Z4" s="18">
        <v>0</v>
      </c>
      <c r="AA4" s="18">
        <v>0</v>
      </c>
      <c r="AB4" s="18">
        <v>1</v>
      </c>
      <c r="AC4" s="18">
        <v>0</v>
      </c>
      <c r="AD4" s="18">
        <v>0</v>
      </c>
      <c r="AE4" s="18">
        <v>0</v>
      </c>
      <c r="AF4" s="18">
        <v>0</v>
      </c>
    </row>
    <row r="5" spans="1:32" x14ac:dyDescent="0.2">
      <c r="A5" t="s">
        <v>372</v>
      </c>
      <c r="B5" s="18">
        <v>1</v>
      </c>
      <c r="C5" s="18">
        <v>0</v>
      </c>
      <c r="D5" s="18">
        <v>0</v>
      </c>
      <c r="E5" s="18">
        <v>0</v>
      </c>
      <c r="F5" s="18">
        <v>0</v>
      </c>
      <c r="G5" s="18">
        <v>0</v>
      </c>
      <c r="H5" s="18">
        <v>0</v>
      </c>
      <c r="I5" s="18">
        <v>0</v>
      </c>
      <c r="J5" s="18">
        <v>0</v>
      </c>
      <c r="K5" s="18">
        <v>0</v>
      </c>
      <c r="L5" s="18">
        <v>0</v>
      </c>
      <c r="M5" s="18">
        <v>0</v>
      </c>
      <c r="N5" s="18">
        <v>0</v>
      </c>
      <c r="O5" s="18">
        <v>0</v>
      </c>
      <c r="P5" s="18">
        <v>0</v>
      </c>
      <c r="Q5" s="18">
        <v>0</v>
      </c>
      <c r="R5" s="18">
        <v>0</v>
      </c>
      <c r="S5" s="18">
        <v>0</v>
      </c>
      <c r="T5" s="18">
        <v>0</v>
      </c>
      <c r="U5" s="18">
        <v>0</v>
      </c>
      <c r="V5" s="18">
        <v>0</v>
      </c>
      <c r="W5" s="18">
        <v>0</v>
      </c>
      <c r="X5" s="18">
        <v>0</v>
      </c>
      <c r="Y5" s="18">
        <v>0</v>
      </c>
      <c r="Z5" s="18">
        <v>0</v>
      </c>
      <c r="AA5" s="18">
        <v>0</v>
      </c>
      <c r="AB5" s="18">
        <v>0</v>
      </c>
      <c r="AC5" s="18">
        <v>0</v>
      </c>
      <c r="AD5" s="18">
        <v>0</v>
      </c>
      <c r="AE5" s="18">
        <v>0</v>
      </c>
      <c r="AF5" s="18">
        <v>0</v>
      </c>
    </row>
    <row r="6" spans="1:32" x14ac:dyDescent="0.2">
      <c r="A6" t="s">
        <v>373</v>
      </c>
      <c r="B6" s="18">
        <v>0</v>
      </c>
      <c r="C6" s="18">
        <v>0</v>
      </c>
      <c r="D6" s="18">
        <v>0</v>
      </c>
      <c r="E6" s="18">
        <v>0</v>
      </c>
      <c r="F6" s="18">
        <v>1</v>
      </c>
      <c r="G6" s="18">
        <v>0</v>
      </c>
      <c r="H6" s="18">
        <v>0</v>
      </c>
      <c r="I6" s="18">
        <v>0</v>
      </c>
      <c r="J6" s="18">
        <v>0</v>
      </c>
      <c r="K6" s="18">
        <v>0</v>
      </c>
      <c r="L6" s="18">
        <v>0</v>
      </c>
      <c r="M6" s="18">
        <v>0</v>
      </c>
      <c r="N6" s="18">
        <v>0</v>
      </c>
      <c r="O6" s="18">
        <v>0</v>
      </c>
      <c r="P6" s="18">
        <v>0</v>
      </c>
      <c r="Q6" s="18">
        <v>0</v>
      </c>
      <c r="R6" s="18">
        <v>0</v>
      </c>
      <c r="S6" s="18">
        <v>0</v>
      </c>
      <c r="T6" s="18">
        <v>0</v>
      </c>
      <c r="U6" s="18">
        <v>0</v>
      </c>
      <c r="V6" s="18">
        <v>0</v>
      </c>
      <c r="W6" s="18">
        <v>0</v>
      </c>
      <c r="X6" s="18">
        <v>0</v>
      </c>
      <c r="Y6" s="18">
        <v>0</v>
      </c>
      <c r="Z6" s="18">
        <v>0</v>
      </c>
      <c r="AA6" s="18">
        <v>0</v>
      </c>
      <c r="AB6" s="18">
        <v>0</v>
      </c>
      <c r="AC6" s="18">
        <v>0</v>
      </c>
      <c r="AD6" s="18">
        <v>0</v>
      </c>
      <c r="AE6" s="18">
        <v>0</v>
      </c>
      <c r="AF6" s="18">
        <v>0</v>
      </c>
    </row>
    <row r="7" spans="1:32" x14ac:dyDescent="0.2">
      <c r="A7" t="s">
        <v>374</v>
      </c>
      <c r="B7" s="18">
        <v>0</v>
      </c>
      <c r="C7" s="18">
        <v>0</v>
      </c>
      <c r="D7" s="18">
        <v>0</v>
      </c>
      <c r="E7" s="18">
        <v>0</v>
      </c>
      <c r="F7" s="18">
        <v>0</v>
      </c>
      <c r="G7" s="18">
        <v>0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0</v>
      </c>
      <c r="O7" s="18">
        <v>0</v>
      </c>
      <c r="P7" s="18">
        <v>0</v>
      </c>
      <c r="Q7" s="18">
        <v>0</v>
      </c>
      <c r="R7" s="18">
        <v>0</v>
      </c>
      <c r="S7" s="18">
        <v>0</v>
      </c>
      <c r="T7" s="18">
        <v>0</v>
      </c>
      <c r="U7" s="18">
        <v>0</v>
      </c>
      <c r="V7" s="18">
        <v>0</v>
      </c>
      <c r="W7" s="18">
        <v>0</v>
      </c>
      <c r="X7" s="18">
        <v>0</v>
      </c>
      <c r="Y7" s="18">
        <v>0</v>
      </c>
      <c r="Z7" s="18">
        <v>0</v>
      </c>
      <c r="AA7" s="18">
        <v>0</v>
      </c>
      <c r="AB7" s="18">
        <v>0</v>
      </c>
      <c r="AC7" s="18">
        <v>0</v>
      </c>
      <c r="AD7" s="18">
        <v>1</v>
      </c>
      <c r="AE7" s="18">
        <v>0</v>
      </c>
      <c r="AF7" s="18">
        <v>0</v>
      </c>
    </row>
    <row r="8" spans="1:32" x14ac:dyDescent="0.2">
      <c r="A8" t="s">
        <v>375</v>
      </c>
      <c r="B8" s="18">
        <v>0</v>
      </c>
      <c r="C8" s="18">
        <v>0</v>
      </c>
      <c r="D8" s="18">
        <v>0</v>
      </c>
      <c r="E8" s="18">
        <v>0</v>
      </c>
      <c r="F8" s="18">
        <v>0</v>
      </c>
      <c r="G8" s="18">
        <v>0</v>
      </c>
      <c r="H8" s="18">
        <v>0</v>
      </c>
      <c r="I8" s="18">
        <v>0</v>
      </c>
      <c r="J8" s="18">
        <v>0</v>
      </c>
      <c r="K8" s="18">
        <v>0</v>
      </c>
      <c r="L8" s="18">
        <v>0</v>
      </c>
      <c r="M8" s="18">
        <v>0</v>
      </c>
      <c r="N8" s="18">
        <v>0</v>
      </c>
      <c r="O8" s="18">
        <v>0</v>
      </c>
      <c r="P8" s="18">
        <v>0</v>
      </c>
      <c r="Q8" s="18">
        <v>0</v>
      </c>
      <c r="R8" s="18">
        <v>0</v>
      </c>
      <c r="S8" s="18">
        <v>0</v>
      </c>
      <c r="T8" s="18">
        <v>0</v>
      </c>
      <c r="U8" s="18">
        <v>0</v>
      </c>
      <c r="V8" s="18">
        <v>0</v>
      </c>
      <c r="W8" s="18">
        <v>0</v>
      </c>
      <c r="X8" s="18">
        <v>0</v>
      </c>
      <c r="Y8" s="18">
        <v>0</v>
      </c>
      <c r="Z8" s="18">
        <v>1</v>
      </c>
      <c r="AA8" s="18">
        <v>0</v>
      </c>
      <c r="AB8" s="18">
        <v>0</v>
      </c>
      <c r="AC8" s="18">
        <v>0</v>
      </c>
      <c r="AD8" s="18">
        <v>0</v>
      </c>
      <c r="AE8" s="18">
        <v>1</v>
      </c>
      <c r="AF8" s="18">
        <v>0</v>
      </c>
    </row>
    <row r="9" spans="1:32" x14ac:dyDescent="0.2">
      <c r="A9" t="s">
        <v>376</v>
      </c>
      <c r="B9" s="18">
        <v>0</v>
      </c>
      <c r="C9" s="18">
        <v>0</v>
      </c>
      <c r="D9" s="18">
        <v>0</v>
      </c>
      <c r="E9" s="18">
        <v>0</v>
      </c>
      <c r="F9" s="18">
        <v>0</v>
      </c>
      <c r="G9" s="18">
        <v>0</v>
      </c>
      <c r="H9" s="18">
        <v>1</v>
      </c>
      <c r="I9" s="18">
        <v>0</v>
      </c>
      <c r="J9" s="18">
        <v>0</v>
      </c>
      <c r="K9" s="18">
        <v>0</v>
      </c>
      <c r="L9" s="18">
        <v>0</v>
      </c>
      <c r="M9" s="18">
        <v>0</v>
      </c>
      <c r="N9" s="18">
        <v>0</v>
      </c>
      <c r="O9" s="18">
        <v>0</v>
      </c>
      <c r="P9" s="18">
        <v>0</v>
      </c>
      <c r="Q9" s="18">
        <v>0</v>
      </c>
      <c r="R9" s="18">
        <v>0</v>
      </c>
      <c r="S9" s="18">
        <v>0</v>
      </c>
      <c r="T9" s="18">
        <v>1</v>
      </c>
      <c r="U9" s="18">
        <v>0</v>
      </c>
      <c r="V9" s="18">
        <v>0</v>
      </c>
      <c r="W9" s="18">
        <v>0</v>
      </c>
      <c r="X9" s="18">
        <v>0</v>
      </c>
      <c r="Y9" s="18">
        <v>0</v>
      </c>
      <c r="Z9" s="18">
        <v>0</v>
      </c>
      <c r="AA9" s="18">
        <v>0</v>
      </c>
      <c r="AB9" s="18">
        <v>0</v>
      </c>
      <c r="AC9" s="18">
        <v>0</v>
      </c>
      <c r="AD9" s="18">
        <v>0</v>
      </c>
      <c r="AE9" s="18">
        <v>0</v>
      </c>
      <c r="AF9" s="18">
        <v>0</v>
      </c>
    </row>
    <row r="10" spans="1:32" x14ac:dyDescent="0.2">
      <c r="A10" t="s">
        <v>378</v>
      </c>
      <c r="B10" s="18">
        <v>0</v>
      </c>
      <c r="C10" s="18">
        <v>0</v>
      </c>
      <c r="D10" s="18">
        <v>0</v>
      </c>
      <c r="E10" s="18">
        <v>0</v>
      </c>
      <c r="F10" s="18">
        <v>0</v>
      </c>
      <c r="G10" s="18">
        <v>0</v>
      </c>
      <c r="H10" s="18">
        <v>0</v>
      </c>
      <c r="I10" s="18">
        <v>0</v>
      </c>
      <c r="J10" s="18">
        <v>0</v>
      </c>
      <c r="K10" s="18">
        <v>0</v>
      </c>
      <c r="L10" s="18">
        <v>1</v>
      </c>
      <c r="M10" s="18">
        <v>1</v>
      </c>
      <c r="N10" s="18">
        <v>1</v>
      </c>
      <c r="O10" s="18">
        <v>0</v>
      </c>
      <c r="P10" s="18">
        <v>0</v>
      </c>
      <c r="Q10" s="18">
        <v>0</v>
      </c>
      <c r="R10" s="18">
        <v>0</v>
      </c>
      <c r="S10" s="18">
        <v>0</v>
      </c>
      <c r="T10" s="18">
        <v>0</v>
      </c>
      <c r="U10" s="18">
        <v>1</v>
      </c>
      <c r="V10" s="18">
        <v>0</v>
      </c>
      <c r="W10" s="18">
        <v>0</v>
      </c>
      <c r="X10" s="18">
        <v>0</v>
      </c>
      <c r="Y10" s="18">
        <v>0</v>
      </c>
      <c r="Z10" s="18">
        <v>0</v>
      </c>
      <c r="AA10" s="18">
        <v>0</v>
      </c>
      <c r="AB10" s="18">
        <v>0</v>
      </c>
      <c r="AC10" s="18">
        <v>0</v>
      </c>
      <c r="AD10" s="18">
        <v>0</v>
      </c>
      <c r="AE10" s="18">
        <v>0</v>
      </c>
      <c r="AF10" s="18">
        <v>0</v>
      </c>
    </row>
    <row r="11" spans="1:32" x14ac:dyDescent="0.2">
      <c r="A11" t="s">
        <v>379</v>
      </c>
      <c r="B11" s="18">
        <v>0</v>
      </c>
      <c r="C11" s="18">
        <v>0</v>
      </c>
      <c r="D11" s="18">
        <v>0</v>
      </c>
      <c r="E11" s="18">
        <v>0</v>
      </c>
      <c r="F11" s="18">
        <v>0</v>
      </c>
      <c r="G11" s="18">
        <v>0</v>
      </c>
      <c r="H11" s="18">
        <v>0</v>
      </c>
      <c r="I11" s="18">
        <v>0</v>
      </c>
      <c r="J11" s="18">
        <v>0</v>
      </c>
      <c r="K11" s="18">
        <v>0</v>
      </c>
      <c r="L11" s="18">
        <v>0</v>
      </c>
      <c r="M11" s="18">
        <v>0</v>
      </c>
      <c r="N11" s="18">
        <v>0</v>
      </c>
      <c r="O11" s="18">
        <v>0</v>
      </c>
      <c r="P11" s="18">
        <v>0</v>
      </c>
      <c r="Q11" s="18">
        <v>0</v>
      </c>
      <c r="R11" s="18">
        <v>0</v>
      </c>
      <c r="S11" s="18">
        <v>0</v>
      </c>
      <c r="T11" s="18">
        <v>0</v>
      </c>
      <c r="U11" s="18">
        <v>0</v>
      </c>
      <c r="V11" s="18">
        <v>0</v>
      </c>
      <c r="W11" s="18">
        <v>0</v>
      </c>
      <c r="X11" s="18">
        <v>0</v>
      </c>
      <c r="Y11" s="18">
        <v>0</v>
      </c>
      <c r="Z11" s="18">
        <v>0</v>
      </c>
      <c r="AA11" s="18">
        <v>0</v>
      </c>
      <c r="AB11" s="18">
        <v>0</v>
      </c>
      <c r="AC11" s="18">
        <v>0</v>
      </c>
      <c r="AD11" s="18">
        <v>0</v>
      </c>
      <c r="AE11" s="18">
        <v>0</v>
      </c>
      <c r="AF11" s="18">
        <v>1</v>
      </c>
    </row>
    <row r="12" spans="1:32" x14ac:dyDescent="0.2">
      <c r="A12" t="s">
        <v>381</v>
      </c>
      <c r="B12" s="18">
        <v>0</v>
      </c>
      <c r="C12" s="18">
        <v>0</v>
      </c>
      <c r="D12" s="18">
        <v>0</v>
      </c>
      <c r="E12" s="18">
        <v>0</v>
      </c>
      <c r="F12" s="18">
        <v>0</v>
      </c>
      <c r="G12" s="18">
        <v>0</v>
      </c>
      <c r="H12" s="18">
        <v>1</v>
      </c>
      <c r="I12" s="18">
        <v>0</v>
      </c>
      <c r="J12" s="18">
        <v>1</v>
      </c>
      <c r="K12" s="18">
        <v>0</v>
      </c>
      <c r="L12" s="18">
        <v>0</v>
      </c>
      <c r="M12" s="18">
        <v>0</v>
      </c>
      <c r="N12" s="18">
        <v>0</v>
      </c>
      <c r="O12" s="18">
        <v>0</v>
      </c>
      <c r="P12" s="18">
        <v>0</v>
      </c>
      <c r="Q12" s="18">
        <v>0</v>
      </c>
      <c r="R12" s="18">
        <v>0</v>
      </c>
      <c r="S12" s="18">
        <v>0</v>
      </c>
      <c r="T12" s="18">
        <v>0</v>
      </c>
      <c r="U12" s="18">
        <v>0</v>
      </c>
      <c r="V12" s="18">
        <v>0</v>
      </c>
      <c r="W12" s="18">
        <v>0</v>
      </c>
      <c r="X12" s="18">
        <v>0</v>
      </c>
      <c r="Y12" s="18">
        <v>1</v>
      </c>
      <c r="Z12" s="18">
        <v>0</v>
      </c>
      <c r="AA12" s="18">
        <v>0</v>
      </c>
      <c r="AB12" s="18">
        <v>0</v>
      </c>
      <c r="AC12" s="18">
        <v>0</v>
      </c>
      <c r="AD12" s="18">
        <v>0</v>
      </c>
      <c r="AE12" s="18">
        <v>0</v>
      </c>
      <c r="AF12" s="18">
        <v>0</v>
      </c>
    </row>
    <row r="13" spans="1:32" x14ac:dyDescent="0.2">
      <c r="A13" t="s">
        <v>382</v>
      </c>
      <c r="B13" s="18">
        <v>0</v>
      </c>
      <c r="C13" s="18">
        <v>0</v>
      </c>
      <c r="D13" s="18">
        <v>0</v>
      </c>
      <c r="E13" s="18">
        <v>0</v>
      </c>
      <c r="F13" s="18">
        <v>0</v>
      </c>
      <c r="G13" s="18">
        <v>0</v>
      </c>
      <c r="H13" s="18">
        <v>0</v>
      </c>
      <c r="I13" s="18">
        <v>0</v>
      </c>
      <c r="J13" s="18">
        <v>0</v>
      </c>
      <c r="K13" s="18">
        <v>0</v>
      </c>
      <c r="L13" s="18">
        <v>0</v>
      </c>
      <c r="M13" s="18">
        <v>0</v>
      </c>
      <c r="N13" s="18">
        <v>0</v>
      </c>
      <c r="O13" s="18">
        <v>0</v>
      </c>
      <c r="P13" s="18">
        <v>0</v>
      </c>
      <c r="Q13" s="18">
        <v>0</v>
      </c>
      <c r="R13" s="18">
        <v>0</v>
      </c>
      <c r="S13" s="18">
        <v>0</v>
      </c>
      <c r="T13" s="18">
        <v>0</v>
      </c>
      <c r="U13" s="18">
        <v>0</v>
      </c>
      <c r="V13" s="18">
        <v>0</v>
      </c>
      <c r="W13" s="18">
        <v>0</v>
      </c>
      <c r="X13" s="18">
        <v>0</v>
      </c>
      <c r="Y13" s="18">
        <v>0</v>
      </c>
      <c r="Z13" s="18">
        <v>1</v>
      </c>
      <c r="AA13" s="18">
        <v>1</v>
      </c>
      <c r="AB13" s="18">
        <v>0</v>
      </c>
      <c r="AC13" s="18">
        <v>0</v>
      </c>
      <c r="AD13" s="18">
        <v>0</v>
      </c>
      <c r="AE13" s="18">
        <v>0</v>
      </c>
      <c r="AF13" s="18">
        <v>0</v>
      </c>
    </row>
    <row r="14" spans="1:32" x14ac:dyDescent="0.2">
      <c r="A14" t="s">
        <v>383</v>
      </c>
      <c r="B14" s="18">
        <v>0</v>
      </c>
      <c r="C14" s="18">
        <v>0</v>
      </c>
      <c r="D14" s="18">
        <v>0</v>
      </c>
      <c r="E14" s="18">
        <v>0</v>
      </c>
      <c r="F14" s="18">
        <v>0</v>
      </c>
      <c r="G14" s="18">
        <v>0</v>
      </c>
      <c r="H14" s="18">
        <v>0</v>
      </c>
      <c r="I14" s="18">
        <v>0</v>
      </c>
      <c r="J14" s="18">
        <v>0</v>
      </c>
      <c r="K14" s="18">
        <v>0</v>
      </c>
      <c r="L14" s="18">
        <v>0</v>
      </c>
      <c r="M14" s="18">
        <v>0</v>
      </c>
      <c r="N14" s="18">
        <v>0</v>
      </c>
      <c r="O14" s="18">
        <v>0</v>
      </c>
      <c r="P14" s="18">
        <v>0</v>
      </c>
      <c r="Q14" s="18">
        <v>0</v>
      </c>
      <c r="R14" s="18">
        <v>0</v>
      </c>
      <c r="S14" s="18">
        <v>0</v>
      </c>
      <c r="T14" s="18">
        <v>0</v>
      </c>
      <c r="U14" s="18">
        <v>0</v>
      </c>
      <c r="V14" s="18">
        <v>0</v>
      </c>
      <c r="W14" s="18">
        <v>0</v>
      </c>
      <c r="X14" s="18">
        <v>1</v>
      </c>
      <c r="Y14" s="18">
        <v>0</v>
      </c>
      <c r="Z14" s="18">
        <v>0</v>
      </c>
      <c r="AA14" s="18">
        <v>0</v>
      </c>
      <c r="AB14" s="18">
        <v>0</v>
      </c>
      <c r="AC14" s="18">
        <v>0</v>
      </c>
      <c r="AD14" s="18">
        <v>0</v>
      </c>
      <c r="AE14" s="18">
        <v>0</v>
      </c>
      <c r="AF14" s="18">
        <v>0</v>
      </c>
    </row>
    <row r="15" spans="1:32" x14ac:dyDescent="0.2">
      <c r="A15" t="s">
        <v>384</v>
      </c>
      <c r="B15" s="18">
        <v>0</v>
      </c>
      <c r="C15" s="18">
        <v>0</v>
      </c>
      <c r="D15" s="18">
        <v>0</v>
      </c>
      <c r="E15" s="18">
        <v>0</v>
      </c>
      <c r="F15" s="18">
        <v>0</v>
      </c>
      <c r="G15" s="18">
        <v>0</v>
      </c>
      <c r="H15" s="18">
        <v>0</v>
      </c>
      <c r="I15" s="18">
        <v>0</v>
      </c>
      <c r="J15" s="18">
        <v>0</v>
      </c>
      <c r="K15" s="18">
        <v>0</v>
      </c>
      <c r="L15" s="18">
        <v>0</v>
      </c>
      <c r="M15" s="18">
        <v>0</v>
      </c>
      <c r="N15" s="18">
        <v>0</v>
      </c>
      <c r="O15" s="18">
        <v>0</v>
      </c>
      <c r="P15" s="18">
        <v>0</v>
      </c>
      <c r="Q15" s="18">
        <v>0</v>
      </c>
      <c r="R15" s="18">
        <v>0</v>
      </c>
      <c r="S15" s="18">
        <v>0</v>
      </c>
      <c r="T15" s="18">
        <v>0</v>
      </c>
      <c r="U15" s="18">
        <v>0</v>
      </c>
      <c r="V15" s="18">
        <v>0</v>
      </c>
      <c r="W15" s="18">
        <v>0</v>
      </c>
      <c r="X15" s="18">
        <v>0</v>
      </c>
      <c r="Y15" s="18">
        <v>0</v>
      </c>
      <c r="Z15" s="18">
        <v>1</v>
      </c>
      <c r="AA15" s="18">
        <v>0</v>
      </c>
      <c r="AB15" s="18">
        <v>0</v>
      </c>
      <c r="AC15" s="18">
        <v>0</v>
      </c>
      <c r="AD15" s="18">
        <v>0</v>
      </c>
      <c r="AE15" s="18">
        <v>0</v>
      </c>
      <c r="AF15" s="18">
        <v>0</v>
      </c>
    </row>
    <row r="16" spans="1:32" x14ac:dyDescent="0.2">
      <c r="A16" t="s">
        <v>385</v>
      </c>
      <c r="B16" s="18">
        <v>0</v>
      </c>
      <c r="C16" s="18">
        <v>0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18">
        <v>1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18">
        <v>0</v>
      </c>
      <c r="AF16" s="18">
        <v>0</v>
      </c>
    </row>
    <row r="17" spans="1:32" x14ac:dyDescent="0.2">
      <c r="A17" t="s">
        <v>386</v>
      </c>
      <c r="B17" s="18">
        <v>0</v>
      </c>
      <c r="C17" s="18">
        <v>0</v>
      </c>
      <c r="D17" s="18">
        <v>0</v>
      </c>
      <c r="E17" s="18">
        <v>0</v>
      </c>
      <c r="F17" s="18">
        <v>0</v>
      </c>
      <c r="G17" s="18">
        <v>0</v>
      </c>
      <c r="H17" s="18">
        <v>0</v>
      </c>
      <c r="I17" s="18">
        <v>1</v>
      </c>
      <c r="J17" s="18">
        <v>0</v>
      </c>
      <c r="K17" s="18">
        <v>0</v>
      </c>
      <c r="L17" s="18">
        <v>0</v>
      </c>
      <c r="M17" s="18">
        <v>0</v>
      </c>
      <c r="N17" s="18">
        <v>1</v>
      </c>
      <c r="O17" s="18">
        <v>0</v>
      </c>
      <c r="P17" s="18">
        <v>1</v>
      </c>
      <c r="Q17" s="18">
        <v>0</v>
      </c>
      <c r="R17" s="18">
        <v>0</v>
      </c>
      <c r="S17" s="18">
        <v>0</v>
      </c>
      <c r="T17" s="18">
        <v>0</v>
      </c>
      <c r="U17" s="18">
        <v>0</v>
      </c>
      <c r="V17" s="18">
        <v>0</v>
      </c>
      <c r="W17" s="18">
        <v>0</v>
      </c>
      <c r="X17" s="18">
        <v>0</v>
      </c>
      <c r="Y17" s="18">
        <v>0</v>
      </c>
      <c r="Z17" s="18">
        <v>0</v>
      </c>
      <c r="AA17" s="18">
        <v>0</v>
      </c>
      <c r="AB17" s="18">
        <v>0</v>
      </c>
      <c r="AC17" s="18">
        <v>0</v>
      </c>
      <c r="AD17" s="18">
        <v>0</v>
      </c>
      <c r="AE17" s="18">
        <v>0</v>
      </c>
      <c r="AF17" s="18">
        <v>0</v>
      </c>
    </row>
    <row r="18" spans="1:32" x14ac:dyDescent="0.2">
      <c r="A18" t="s">
        <v>387</v>
      </c>
      <c r="B18" s="18">
        <v>0</v>
      </c>
      <c r="C18" s="18">
        <v>0</v>
      </c>
      <c r="D18" s="18">
        <v>0</v>
      </c>
      <c r="E18" s="18">
        <v>0</v>
      </c>
      <c r="F18" s="18">
        <v>0</v>
      </c>
      <c r="G18" s="18">
        <v>0</v>
      </c>
      <c r="H18" s="18">
        <v>0</v>
      </c>
      <c r="I18" s="18">
        <v>0</v>
      </c>
      <c r="J18" s="18">
        <v>0</v>
      </c>
      <c r="K18" s="18">
        <v>0</v>
      </c>
      <c r="L18" s="18">
        <v>0</v>
      </c>
      <c r="M18" s="18">
        <v>0</v>
      </c>
      <c r="N18" s="18">
        <v>0</v>
      </c>
      <c r="O18" s="18">
        <v>0</v>
      </c>
      <c r="P18" s="18">
        <v>1</v>
      </c>
      <c r="Q18" s="18">
        <v>0</v>
      </c>
      <c r="R18" s="18">
        <v>0</v>
      </c>
      <c r="S18" s="18">
        <v>0</v>
      </c>
      <c r="T18" s="18">
        <v>0</v>
      </c>
      <c r="U18" s="18">
        <v>0</v>
      </c>
      <c r="V18" s="18">
        <v>0</v>
      </c>
      <c r="W18" s="18">
        <v>0</v>
      </c>
      <c r="X18" s="18">
        <v>0</v>
      </c>
      <c r="Y18" s="18">
        <v>0</v>
      </c>
      <c r="Z18" s="18">
        <v>0</v>
      </c>
      <c r="AA18" s="18">
        <v>0</v>
      </c>
      <c r="AB18" s="18">
        <v>0</v>
      </c>
      <c r="AC18" s="18">
        <v>0</v>
      </c>
      <c r="AD18" s="18">
        <v>0</v>
      </c>
      <c r="AE18" s="18">
        <v>0</v>
      </c>
      <c r="AF18" s="18">
        <v>0</v>
      </c>
    </row>
    <row r="19" spans="1:32" x14ac:dyDescent="0.2">
      <c r="A19" t="s">
        <v>388</v>
      </c>
      <c r="B19" s="18">
        <v>0</v>
      </c>
      <c r="C19" s="18">
        <v>1</v>
      </c>
      <c r="D19" s="18">
        <v>0</v>
      </c>
      <c r="E19" s="18">
        <v>0</v>
      </c>
      <c r="F19" s="18">
        <v>0</v>
      </c>
      <c r="G19" s="18">
        <v>0</v>
      </c>
      <c r="H19" s="18">
        <v>0</v>
      </c>
      <c r="I19" s="18">
        <v>0</v>
      </c>
      <c r="J19" s="18">
        <v>0</v>
      </c>
      <c r="K19" s="18">
        <v>0</v>
      </c>
      <c r="L19" s="18">
        <v>0</v>
      </c>
      <c r="M19" s="18">
        <v>0</v>
      </c>
      <c r="N19" s="18">
        <v>0</v>
      </c>
      <c r="O19" s="18">
        <v>0</v>
      </c>
      <c r="P19" s="18">
        <v>0</v>
      </c>
      <c r="Q19" s="18">
        <v>0</v>
      </c>
      <c r="R19" s="18">
        <v>0</v>
      </c>
      <c r="S19" s="18">
        <v>0</v>
      </c>
      <c r="T19" s="18">
        <v>0</v>
      </c>
      <c r="U19" s="18">
        <v>0</v>
      </c>
      <c r="V19" s="18">
        <v>0</v>
      </c>
      <c r="W19" s="18">
        <v>0</v>
      </c>
      <c r="X19" s="18">
        <v>0</v>
      </c>
      <c r="Y19" s="18">
        <v>0</v>
      </c>
      <c r="Z19" s="18">
        <v>0</v>
      </c>
      <c r="AA19" s="18">
        <v>0</v>
      </c>
      <c r="AB19" s="18">
        <v>0</v>
      </c>
      <c r="AC19" s="18">
        <v>0</v>
      </c>
      <c r="AD19" s="18">
        <v>0</v>
      </c>
      <c r="AE19" s="18">
        <v>0</v>
      </c>
      <c r="AF19" s="18">
        <v>0</v>
      </c>
    </row>
    <row r="20" spans="1:32" x14ac:dyDescent="0.2">
      <c r="A20" t="s">
        <v>389</v>
      </c>
      <c r="B20" s="18">
        <v>0</v>
      </c>
      <c r="C20" s="18">
        <v>0</v>
      </c>
      <c r="D20" s="18">
        <v>0</v>
      </c>
      <c r="E20" s="18">
        <v>1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  <c r="AF20" s="18">
        <v>0</v>
      </c>
    </row>
    <row r="21" spans="1:32" x14ac:dyDescent="0.2">
      <c r="A21" t="s">
        <v>390</v>
      </c>
      <c r="B21" s="18">
        <v>0</v>
      </c>
      <c r="C21" s="18">
        <v>0</v>
      </c>
      <c r="D21" s="18">
        <v>0</v>
      </c>
      <c r="E21" s="18">
        <v>0</v>
      </c>
      <c r="F21" s="18">
        <v>0</v>
      </c>
      <c r="G21" s="18">
        <v>0</v>
      </c>
      <c r="H21" s="18">
        <v>0</v>
      </c>
      <c r="I21" s="18">
        <v>0</v>
      </c>
      <c r="J21" s="18">
        <v>0</v>
      </c>
      <c r="K21" s="18">
        <v>0</v>
      </c>
      <c r="L21" s="18">
        <v>0</v>
      </c>
      <c r="M21" s="18">
        <v>0</v>
      </c>
      <c r="N21" s="18">
        <v>0</v>
      </c>
      <c r="O21" s="18">
        <v>0</v>
      </c>
      <c r="P21" s="18">
        <v>1</v>
      </c>
      <c r="Q21" s="18">
        <v>0</v>
      </c>
      <c r="R21" s="18">
        <v>0</v>
      </c>
      <c r="S21" s="18">
        <v>0</v>
      </c>
      <c r="T21" s="18">
        <v>0</v>
      </c>
      <c r="U21" s="18">
        <v>0</v>
      </c>
      <c r="V21" s="18">
        <v>0</v>
      </c>
      <c r="W21" s="18">
        <v>0</v>
      </c>
      <c r="X21" s="18">
        <v>0</v>
      </c>
      <c r="Y21" s="18">
        <v>0</v>
      </c>
      <c r="Z21" s="18">
        <v>0</v>
      </c>
      <c r="AA21" s="18">
        <v>0</v>
      </c>
      <c r="AB21" s="18">
        <v>0</v>
      </c>
      <c r="AC21" s="18">
        <v>0</v>
      </c>
      <c r="AD21" s="18">
        <v>0</v>
      </c>
      <c r="AE21" s="18">
        <v>0</v>
      </c>
      <c r="AF21" s="18">
        <v>0</v>
      </c>
    </row>
    <row r="22" spans="1:32" x14ac:dyDescent="0.2">
      <c r="A22" t="s">
        <v>391</v>
      </c>
      <c r="B22" s="18">
        <v>0</v>
      </c>
      <c r="C22" s="18">
        <v>0</v>
      </c>
      <c r="D22" s="18">
        <v>0</v>
      </c>
      <c r="E22" s="18">
        <v>0</v>
      </c>
      <c r="F22" s="18">
        <v>0</v>
      </c>
      <c r="G22" s="18">
        <v>0</v>
      </c>
      <c r="H22" s="18">
        <v>0</v>
      </c>
      <c r="I22" s="18">
        <v>0</v>
      </c>
      <c r="J22" s="18">
        <v>0</v>
      </c>
      <c r="K22" s="18">
        <v>0</v>
      </c>
      <c r="L22" s="18">
        <v>0</v>
      </c>
      <c r="M22" s="18">
        <v>0</v>
      </c>
      <c r="N22" s="18">
        <v>0</v>
      </c>
      <c r="O22" s="18">
        <v>0</v>
      </c>
      <c r="P22" s="18">
        <v>0</v>
      </c>
      <c r="Q22" s="18">
        <v>0</v>
      </c>
      <c r="R22" s="18">
        <v>0</v>
      </c>
      <c r="S22" s="18">
        <v>0</v>
      </c>
      <c r="T22" s="18">
        <v>0</v>
      </c>
      <c r="U22" s="18">
        <v>1</v>
      </c>
      <c r="V22" s="18">
        <v>0</v>
      </c>
      <c r="W22" s="18">
        <v>0</v>
      </c>
      <c r="X22" s="18">
        <v>0</v>
      </c>
      <c r="Y22" s="18">
        <v>0</v>
      </c>
      <c r="Z22" s="18">
        <v>0</v>
      </c>
      <c r="AA22" s="18">
        <v>0</v>
      </c>
      <c r="AB22" s="18">
        <v>0</v>
      </c>
      <c r="AC22" s="18">
        <v>0</v>
      </c>
      <c r="AD22" s="18">
        <v>0</v>
      </c>
      <c r="AE22" s="18">
        <v>0</v>
      </c>
      <c r="AF22" s="18">
        <v>0</v>
      </c>
    </row>
    <row r="23" spans="1:32" x14ac:dyDescent="0.2">
      <c r="A23" t="s">
        <v>392</v>
      </c>
      <c r="B23" s="18">
        <v>0</v>
      </c>
      <c r="C23" s="18">
        <v>0</v>
      </c>
      <c r="D23" s="18">
        <v>0</v>
      </c>
      <c r="E23" s="18">
        <v>0</v>
      </c>
      <c r="F23" s="18">
        <v>0</v>
      </c>
      <c r="G23" s="18">
        <v>0</v>
      </c>
      <c r="H23" s="18">
        <v>0</v>
      </c>
      <c r="I23" s="18">
        <v>0</v>
      </c>
      <c r="J23" s="18">
        <v>0</v>
      </c>
      <c r="K23" s="18">
        <v>0</v>
      </c>
      <c r="L23" s="18">
        <v>0</v>
      </c>
      <c r="M23" s="18">
        <v>0</v>
      </c>
      <c r="N23" s="18">
        <v>0</v>
      </c>
      <c r="O23" s="18">
        <v>1</v>
      </c>
      <c r="P23" s="18">
        <v>0</v>
      </c>
      <c r="Q23" s="18">
        <v>0</v>
      </c>
      <c r="R23" s="18">
        <v>0</v>
      </c>
      <c r="S23" s="18">
        <v>0</v>
      </c>
      <c r="T23" s="18">
        <v>0</v>
      </c>
      <c r="U23" s="18">
        <v>0</v>
      </c>
      <c r="V23" s="18">
        <v>0</v>
      </c>
      <c r="W23" s="18">
        <v>0</v>
      </c>
      <c r="X23" s="18">
        <v>0</v>
      </c>
      <c r="Y23" s="18">
        <v>0</v>
      </c>
      <c r="Z23" s="18">
        <v>0</v>
      </c>
      <c r="AA23" s="18">
        <v>0</v>
      </c>
      <c r="AB23" s="18">
        <v>0</v>
      </c>
      <c r="AC23" s="18">
        <v>0</v>
      </c>
      <c r="AD23" s="18">
        <v>0</v>
      </c>
      <c r="AE23" s="18">
        <v>0</v>
      </c>
      <c r="AF23" s="18">
        <v>0</v>
      </c>
    </row>
    <row r="24" spans="1:32" x14ac:dyDescent="0.2">
      <c r="A24" t="s">
        <v>393</v>
      </c>
      <c r="B24" s="18">
        <v>0</v>
      </c>
      <c r="C24" s="18">
        <v>0</v>
      </c>
      <c r="D24" s="18">
        <v>0</v>
      </c>
      <c r="E24" s="18">
        <v>0</v>
      </c>
      <c r="F24" s="18">
        <v>0</v>
      </c>
      <c r="G24" s="18">
        <v>0</v>
      </c>
      <c r="H24" s="18">
        <v>0</v>
      </c>
      <c r="I24" s="18">
        <v>0</v>
      </c>
      <c r="J24" s="18">
        <v>0</v>
      </c>
      <c r="K24" s="18">
        <v>0</v>
      </c>
      <c r="L24" s="18">
        <v>0</v>
      </c>
      <c r="M24" s="18">
        <v>0</v>
      </c>
      <c r="N24" s="18">
        <v>0</v>
      </c>
      <c r="O24" s="18">
        <v>0</v>
      </c>
      <c r="P24" s="18">
        <v>0</v>
      </c>
      <c r="Q24" s="18">
        <v>0</v>
      </c>
      <c r="R24" s="18">
        <v>1</v>
      </c>
      <c r="S24" s="18">
        <v>0</v>
      </c>
      <c r="T24" s="18">
        <v>0</v>
      </c>
      <c r="U24" s="18">
        <v>0</v>
      </c>
      <c r="V24" s="18">
        <v>0</v>
      </c>
      <c r="W24" s="18">
        <v>0</v>
      </c>
      <c r="X24" s="18">
        <v>0</v>
      </c>
      <c r="Y24" s="18">
        <v>0</v>
      </c>
      <c r="Z24" s="18">
        <v>0</v>
      </c>
      <c r="AA24" s="18">
        <v>0</v>
      </c>
      <c r="AB24" s="18">
        <v>0</v>
      </c>
      <c r="AC24" s="18">
        <v>0</v>
      </c>
      <c r="AD24" s="18">
        <v>0</v>
      </c>
      <c r="AE24" s="18">
        <v>0</v>
      </c>
      <c r="AF24" s="18">
        <v>0</v>
      </c>
    </row>
    <row r="25" spans="1:32" x14ac:dyDescent="0.2">
      <c r="A25" t="s">
        <v>394</v>
      </c>
      <c r="B25" s="18">
        <v>0</v>
      </c>
      <c r="C25" s="18">
        <v>0</v>
      </c>
      <c r="D25" s="18">
        <v>0</v>
      </c>
      <c r="E25" s="18">
        <v>0</v>
      </c>
      <c r="F25" s="18">
        <v>0</v>
      </c>
      <c r="G25" s="18">
        <v>0</v>
      </c>
      <c r="H25" s="18">
        <v>0</v>
      </c>
      <c r="I25" s="18">
        <v>0</v>
      </c>
      <c r="J25" s="18">
        <v>0</v>
      </c>
      <c r="K25" s="18">
        <v>0</v>
      </c>
      <c r="L25" s="18">
        <v>0</v>
      </c>
      <c r="M25" s="18">
        <v>0</v>
      </c>
      <c r="N25" s="18">
        <v>0</v>
      </c>
      <c r="O25" s="18">
        <v>0</v>
      </c>
      <c r="P25" s="18">
        <v>0</v>
      </c>
      <c r="Q25" s="18">
        <v>0</v>
      </c>
      <c r="R25" s="18">
        <v>0</v>
      </c>
      <c r="S25" s="18">
        <v>0</v>
      </c>
      <c r="T25" s="18">
        <v>0</v>
      </c>
      <c r="U25" s="18">
        <v>0</v>
      </c>
      <c r="V25" s="18">
        <v>0</v>
      </c>
      <c r="W25" s="18">
        <v>0</v>
      </c>
      <c r="X25" s="18">
        <v>0</v>
      </c>
      <c r="Y25" s="18">
        <v>0</v>
      </c>
      <c r="Z25" s="18">
        <v>0</v>
      </c>
      <c r="AA25" s="18">
        <v>0</v>
      </c>
      <c r="AB25" s="18">
        <v>0</v>
      </c>
      <c r="AC25" s="18">
        <v>0</v>
      </c>
      <c r="AD25" s="18">
        <v>0</v>
      </c>
      <c r="AE25" s="18">
        <v>0</v>
      </c>
      <c r="AF25" s="18">
        <v>1</v>
      </c>
    </row>
    <row r="26" spans="1:32" x14ac:dyDescent="0.2">
      <c r="A26" t="s">
        <v>395</v>
      </c>
      <c r="B26" s="18">
        <v>0</v>
      </c>
      <c r="C26" s="18">
        <v>0</v>
      </c>
      <c r="D26" s="18">
        <v>0</v>
      </c>
      <c r="E26" s="18">
        <v>0</v>
      </c>
      <c r="F26" s="18">
        <v>0</v>
      </c>
      <c r="G26" s="18">
        <v>0</v>
      </c>
      <c r="H26" s="18">
        <v>0</v>
      </c>
      <c r="I26" s="18">
        <v>0</v>
      </c>
      <c r="J26" s="18">
        <v>0</v>
      </c>
      <c r="K26" s="18">
        <v>0</v>
      </c>
      <c r="L26" s="18">
        <v>0</v>
      </c>
      <c r="M26" s="18">
        <v>0</v>
      </c>
      <c r="N26" s="18">
        <v>0</v>
      </c>
      <c r="O26" s="18">
        <v>0</v>
      </c>
      <c r="P26" s="18">
        <v>0</v>
      </c>
      <c r="Q26" s="18">
        <v>0</v>
      </c>
      <c r="R26" s="18">
        <v>0</v>
      </c>
      <c r="S26" s="18">
        <v>0</v>
      </c>
      <c r="T26" s="18">
        <v>0</v>
      </c>
      <c r="U26" s="18">
        <v>0</v>
      </c>
      <c r="V26" s="18">
        <v>0</v>
      </c>
      <c r="W26" s="18">
        <v>0</v>
      </c>
      <c r="X26" s="18">
        <v>0</v>
      </c>
      <c r="Y26" s="18">
        <v>0</v>
      </c>
      <c r="Z26" s="18">
        <v>0</v>
      </c>
      <c r="AA26" s="18">
        <v>0</v>
      </c>
      <c r="AB26" s="18">
        <v>0</v>
      </c>
      <c r="AC26" s="18">
        <v>0</v>
      </c>
      <c r="AD26" s="18">
        <v>0</v>
      </c>
      <c r="AE26" s="18">
        <v>1</v>
      </c>
      <c r="AF26" s="18">
        <v>0</v>
      </c>
    </row>
    <row r="27" spans="1:32" x14ac:dyDescent="0.2">
      <c r="A27" t="s">
        <v>396</v>
      </c>
      <c r="B27" s="18">
        <v>0</v>
      </c>
      <c r="C27" s="18">
        <v>0</v>
      </c>
      <c r="D27" s="18">
        <v>0</v>
      </c>
      <c r="E27" s="18">
        <v>0</v>
      </c>
      <c r="F27" s="18">
        <v>0</v>
      </c>
      <c r="G27" s="18">
        <v>0</v>
      </c>
      <c r="H27" s="18">
        <v>0</v>
      </c>
      <c r="I27" s="18">
        <v>0</v>
      </c>
      <c r="J27" s="18">
        <v>0</v>
      </c>
      <c r="K27" s="18">
        <v>0</v>
      </c>
      <c r="L27" s="18">
        <v>0</v>
      </c>
      <c r="M27" s="18">
        <v>0</v>
      </c>
      <c r="N27" s="18">
        <v>0</v>
      </c>
      <c r="O27" s="18">
        <v>0</v>
      </c>
      <c r="P27" s="18">
        <v>0</v>
      </c>
      <c r="Q27" s="18">
        <v>0</v>
      </c>
      <c r="R27" s="18">
        <v>0</v>
      </c>
      <c r="S27" s="18">
        <v>0</v>
      </c>
      <c r="T27" s="18">
        <v>0</v>
      </c>
      <c r="U27" s="18">
        <v>0</v>
      </c>
      <c r="V27" s="18">
        <v>0</v>
      </c>
      <c r="W27" s="18">
        <v>0</v>
      </c>
      <c r="X27" s="18">
        <v>0</v>
      </c>
      <c r="Y27" s="18">
        <v>0</v>
      </c>
      <c r="Z27" s="18">
        <v>0</v>
      </c>
      <c r="AA27" s="18">
        <v>1</v>
      </c>
      <c r="AB27" s="18">
        <v>0</v>
      </c>
      <c r="AC27" s="18">
        <v>0</v>
      </c>
      <c r="AD27" s="18">
        <v>0</v>
      </c>
      <c r="AE27" s="18">
        <v>0</v>
      </c>
      <c r="AF27" s="18">
        <v>0</v>
      </c>
    </row>
    <row r="28" spans="1:32" x14ac:dyDescent="0.2">
      <c r="A28" t="s">
        <v>397</v>
      </c>
      <c r="B28" s="18">
        <v>0</v>
      </c>
      <c r="C28" s="18">
        <v>0</v>
      </c>
      <c r="D28" s="18">
        <v>0</v>
      </c>
      <c r="E28" s="18">
        <v>0</v>
      </c>
      <c r="F28" s="18">
        <v>0</v>
      </c>
      <c r="G28" s="18">
        <v>0</v>
      </c>
      <c r="H28" s="18">
        <v>0</v>
      </c>
      <c r="I28" s="18">
        <v>0</v>
      </c>
      <c r="J28" s="18">
        <v>0</v>
      </c>
      <c r="K28" s="18">
        <v>1</v>
      </c>
      <c r="L28" s="18">
        <v>0</v>
      </c>
      <c r="M28" s="18">
        <v>0</v>
      </c>
      <c r="N28" s="18">
        <v>0</v>
      </c>
      <c r="O28" s="18">
        <v>0</v>
      </c>
      <c r="P28" s="18">
        <v>0</v>
      </c>
      <c r="Q28" s="18">
        <v>0</v>
      </c>
      <c r="R28" s="18">
        <v>0</v>
      </c>
      <c r="S28" s="18">
        <v>0</v>
      </c>
      <c r="T28" s="18">
        <v>0</v>
      </c>
      <c r="U28" s="18">
        <v>0</v>
      </c>
      <c r="V28" s="18">
        <v>0</v>
      </c>
      <c r="W28" s="18">
        <v>0</v>
      </c>
      <c r="X28" s="18">
        <v>0</v>
      </c>
      <c r="Y28" s="18">
        <v>0</v>
      </c>
      <c r="Z28" s="18">
        <v>0</v>
      </c>
      <c r="AA28" s="18">
        <v>0</v>
      </c>
      <c r="AB28" s="18">
        <v>0</v>
      </c>
      <c r="AC28" s="18">
        <v>0</v>
      </c>
      <c r="AD28" s="18">
        <v>0</v>
      </c>
      <c r="AE28" s="18">
        <v>0</v>
      </c>
      <c r="AF28" s="18">
        <v>0</v>
      </c>
    </row>
    <row r="29" spans="1:32" x14ac:dyDescent="0.2">
      <c r="A29" t="s">
        <v>398</v>
      </c>
      <c r="B29" s="18">
        <v>0</v>
      </c>
      <c r="C29" s="18">
        <v>0</v>
      </c>
      <c r="D29" s="18">
        <v>0</v>
      </c>
      <c r="E29" s="18">
        <v>0</v>
      </c>
      <c r="F29" s="18">
        <v>0</v>
      </c>
      <c r="G29" s="18">
        <v>0</v>
      </c>
      <c r="H29" s="18">
        <v>0</v>
      </c>
      <c r="I29" s="18">
        <v>0</v>
      </c>
      <c r="J29" s="18">
        <v>0</v>
      </c>
      <c r="K29" s="18">
        <v>0</v>
      </c>
      <c r="L29" s="18">
        <v>0</v>
      </c>
      <c r="M29" s="18">
        <v>0</v>
      </c>
      <c r="N29" s="18">
        <v>0</v>
      </c>
      <c r="O29" s="18">
        <v>0</v>
      </c>
      <c r="P29" s="18">
        <v>0</v>
      </c>
      <c r="Q29" s="18">
        <v>0</v>
      </c>
      <c r="R29" s="18">
        <v>0</v>
      </c>
      <c r="S29" s="18">
        <v>0</v>
      </c>
      <c r="T29" s="18">
        <v>0</v>
      </c>
      <c r="U29" s="18">
        <v>0</v>
      </c>
      <c r="V29" s="18">
        <v>0</v>
      </c>
      <c r="W29" s="18">
        <v>0</v>
      </c>
      <c r="X29" s="18">
        <v>0</v>
      </c>
      <c r="Y29" s="18">
        <v>0</v>
      </c>
      <c r="Z29" s="18">
        <v>1</v>
      </c>
      <c r="AA29" s="18">
        <v>0</v>
      </c>
      <c r="AB29" s="18">
        <v>0</v>
      </c>
      <c r="AC29" s="18">
        <v>1</v>
      </c>
      <c r="AD29" s="18">
        <v>0</v>
      </c>
      <c r="AE29" s="18">
        <v>0</v>
      </c>
      <c r="AF29" s="18">
        <v>0</v>
      </c>
    </row>
    <row r="30" spans="1:32" x14ac:dyDescent="0.2">
      <c r="A30" t="s">
        <v>399</v>
      </c>
      <c r="B30" s="18">
        <v>0</v>
      </c>
      <c r="C30" s="18">
        <v>0</v>
      </c>
      <c r="D30" s="18">
        <v>0</v>
      </c>
      <c r="E30" s="18">
        <v>0</v>
      </c>
      <c r="F30" s="18">
        <v>0</v>
      </c>
      <c r="G30" s="18">
        <v>0</v>
      </c>
      <c r="H30" s="18">
        <v>0</v>
      </c>
      <c r="I30" s="18">
        <v>0</v>
      </c>
      <c r="J30" s="18">
        <v>0</v>
      </c>
      <c r="K30" s="18">
        <v>0</v>
      </c>
      <c r="L30" s="18">
        <v>0</v>
      </c>
      <c r="M30" s="18">
        <v>0</v>
      </c>
      <c r="N30" s="18">
        <v>0</v>
      </c>
      <c r="O30" s="18">
        <v>0</v>
      </c>
      <c r="P30" s="18">
        <v>0</v>
      </c>
      <c r="Q30" s="18">
        <v>1</v>
      </c>
      <c r="R30" s="18">
        <v>0</v>
      </c>
      <c r="S30" s="18">
        <v>0</v>
      </c>
      <c r="T30" s="18">
        <v>0</v>
      </c>
      <c r="U30" s="18">
        <v>0</v>
      </c>
      <c r="V30" s="18">
        <v>0</v>
      </c>
      <c r="W30" s="18">
        <v>0</v>
      </c>
      <c r="X30" s="18">
        <v>0</v>
      </c>
      <c r="Y30" s="18">
        <v>0</v>
      </c>
      <c r="Z30" s="18">
        <v>0</v>
      </c>
      <c r="AA30" s="18">
        <v>0</v>
      </c>
      <c r="AB30" s="18">
        <v>0</v>
      </c>
      <c r="AC30" s="18">
        <v>0</v>
      </c>
      <c r="AD30" s="18">
        <v>0</v>
      </c>
      <c r="AE30" s="18">
        <v>0</v>
      </c>
      <c r="AF30" s="18">
        <v>0</v>
      </c>
    </row>
    <row r="31" spans="1:32" x14ac:dyDescent="0.2">
      <c r="A31" t="s">
        <v>400</v>
      </c>
      <c r="B31" s="18">
        <v>0</v>
      </c>
      <c r="C31" s="18">
        <v>0</v>
      </c>
      <c r="D31" s="18">
        <v>0</v>
      </c>
      <c r="E31" s="18">
        <v>0</v>
      </c>
      <c r="F31" s="18">
        <v>0</v>
      </c>
      <c r="G31" s="18">
        <v>0</v>
      </c>
      <c r="H31" s="18">
        <v>0</v>
      </c>
      <c r="I31" s="18">
        <v>0</v>
      </c>
      <c r="J31" s="18">
        <v>0</v>
      </c>
      <c r="K31" s="18">
        <v>0</v>
      </c>
      <c r="L31" s="18">
        <v>0</v>
      </c>
      <c r="M31" s="18">
        <v>0</v>
      </c>
      <c r="N31" s="18">
        <v>0</v>
      </c>
      <c r="O31" s="18">
        <v>1</v>
      </c>
      <c r="P31" s="18">
        <v>0</v>
      </c>
      <c r="Q31" s="18">
        <v>0</v>
      </c>
      <c r="R31" s="18">
        <v>0</v>
      </c>
      <c r="S31" s="18">
        <v>0</v>
      </c>
      <c r="T31" s="18">
        <v>0</v>
      </c>
      <c r="U31" s="18">
        <v>0</v>
      </c>
      <c r="V31" s="18">
        <v>0</v>
      </c>
      <c r="W31" s="18">
        <v>0</v>
      </c>
      <c r="X31" s="18">
        <v>0</v>
      </c>
      <c r="Y31" s="18">
        <v>0</v>
      </c>
      <c r="Z31" s="18">
        <v>0</v>
      </c>
      <c r="AA31" s="18">
        <v>0</v>
      </c>
      <c r="AB31" s="18">
        <v>0</v>
      </c>
      <c r="AC31" s="18">
        <v>0</v>
      </c>
      <c r="AD31" s="18">
        <v>0</v>
      </c>
      <c r="AE31" s="18">
        <v>0</v>
      </c>
      <c r="AF31" s="18">
        <v>0</v>
      </c>
    </row>
    <row r="32" spans="1:32" x14ac:dyDescent="0.2">
      <c r="A32" t="s">
        <v>401</v>
      </c>
      <c r="B32" s="18">
        <v>0</v>
      </c>
      <c r="C32" s="18">
        <v>0</v>
      </c>
      <c r="D32" s="18">
        <v>0</v>
      </c>
      <c r="E32" s="18">
        <v>0</v>
      </c>
      <c r="F32" s="18">
        <v>0</v>
      </c>
      <c r="G32" s="18">
        <v>0</v>
      </c>
      <c r="H32" s="18">
        <v>0</v>
      </c>
      <c r="I32" s="18">
        <v>0</v>
      </c>
      <c r="J32" s="18">
        <v>0</v>
      </c>
      <c r="K32" s="18">
        <v>0</v>
      </c>
      <c r="L32" s="18">
        <v>0</v>
      </c>
      <c r="M32" s="18">
        <v>0</v>
      </c>
      <c r="N32" s="18">
        <v>0</v>
      </c>
      <c r="O32" s="18">
        <v>0</v>
      </c>
      <c r="P32" s="18">
        <v>0</v>
      </c>
      <c r="Q32" s="18">
        <v>0</v>
      </c>
      <c r="R32" s="18">
        <v>1</v>
      </c>
      <c r="S32" s="18">
        <v>0</v>
      </c>
      <c r="T32" s="18">
        <v>0</v>
      </c>
      <c r="U32" s="18">
        <v>0</v>
      </c>
      <c r="V32" s="18">
        <v>0</v>
      </c>
      <c r="W32" s="18">
        <v>0</v>
      </c>
      <c r="X32" s="18">
        <v>0</v>
      </c>
      <c r="Y32" s="18">
        <v>0</v>
      </c>
      <c r="Z32" s="18">
        <v>0</v>
      </c>
      <c r="AA32" s="18">
        <v>0</v>
      </c>
      <c r="AB32" s="18">
        <v>0</v>
      </c>
      <c r="AC32" s="18">
        <v>0</v>
      </c>
      <c r="AD32" s="18">
        <v>0</v>
      </c>
      <c r="AE32" s="18">
        <v>0</v>
      </c>
      <c r="AF32" s="18">
        <v>0</v>
      </c>
    </row>
  </sheetData>
  <pageMargins left="0.7" right="0.7" top="0.75" bottom="0.75" header="0.3" footer="0.3"/>
  <pageSetup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D8B9B-9D5F-0140-A224-29A5B0E44E88}">
  <dimension ref="A1:AF30"/>
  <sheetViews>
    <sheetView tabSelected="1" zoomScale="120" zoomScaleNormal="120" workbookViewId="0">
      <selection activeCell="AF5" sqref="AF5"/>
    </sheetView>
  </sheetViews>
  <sheetFormatPr baseColWidth="10" defaultRowHeight="15" x14ac:dyDescent="0.2"/>
  <sheetData>
    <row r="1" spans="1:32" x14ac:dyDescent="0.2">
      <c r="A1" s="19" t="s">
        <v>367</v>
      </c>
      <c r="B1" s="19" t="s">
        <v>329</v>
      </c>
      <c r="C1" s="19" t="s">
        <v>328</v>
      </c>
      <c r="D1" s="19" t="s">
        <v>354</v>
      </c>
      <c r="E1" s="19" t="s">
        <v>342</v>
      </c>
      <c r="F1" s="19" t="s">
        <v>341</v>
      </c>
      <c r="G1" s="19" t="s">
        <v>345</v>
      </c>
      <c r="H1" s="19" t="s">
        <v>356</v>
      </c>
      <c r="I1" s="19" t="s">
        <v>337</v>
      </c>
      <c r="J1" s="19" t="s">
        <v>335</v>
      </c>
      <c r="K1" s="19" t="s">
        <v>338</v>
      </c>
      <c r="L1" s="19" t="s">
        <v>353</v>
      </c>
      <c r="M1" s="19" t="s">
        <v>352</v>
      </c>
      <c r="N1" s="19" t="s">
        <v>355</v>
      </c>
      <c r="O1" s="19" t="s">
        <v>348</v>
      </c>
      <c r="P1" s="19" t="s">
        <v>334</v>
      </c>
      <c r="Q1" s="19" t="s">
        <v>336</v>
      </c>
      <c r="R1" s="19" t="s">
        <v>351</v>
      </c>
      <c r="S1" s="19" t="s">
        <v>333</v>
      </c>
      <c r="T1" s="19" t="s">
        <v>350</v>
      </c>
      <c r="U1" s="19" t="s">
        <v>349</v>
      </c>
      <c r="V1" s="19" t="s">
        <v>327</v>
      </c>
      <c r="W1" s="19" t="s">
        <v>344</v>
      </c>
      <c r="X1" s="19" t="s">
        <v>347</v>
      </c>
      <c r="Y1" s="19" t="s">
        <v>346</v>
      </c>
      <c r="Z1" s="19" t="s">
        <v>330</v>
      </c>
      <c r="AA1" s="19" t="s">
        <v>340</v>
      </c>
      <c r="AB1" s="19" t="s">
        <v>357</v>
      </c>
      <c r="AC1" s="19" t="s">
        <v>343</v>
      </c>
      <c r="AD1" s="19" t="s">
        <v>331</v>
      </c>
      <c r="AE1" s="19" t="s">
        <v>332</v>
      </c>
      <c r="AF1" s="19" t="s">
        <v>339</v>
      </c>
    </row>
    <row r="2" spans="1:32" x14ac:dyDescent="0.2">
      <c r="A2" t="s">
        <v>368</v>
      </c>
      <c r="B2">
        <v>1</v>
      </c>
      <c r="C2">
        <v>1</v>
      </c>
      <c r="D2">
        <v>0</v>
      </c>
      <c r="E2">
        <v>1</v>
      </c>
      <c r="F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2" x14ac:dyDescent="0.2">
      <c r="A3" t="s">
        <v>369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U3">
        <v>1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2">
      <c r="A4" t="s">
        <v>370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">
      <c r="A5" t="s">
        <v>371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2">
      <c r="A6" t="s">
        <v>372</v>
      </c>
      <c r="B6">
        <v>0</v>
      </c>
      <c r="C6">
        <v>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x14ac:dyDescent="0.2">
      <c r="A7" t="s">
        <v>374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1</v>
      </c>
      <c r="AE7">
        <v>0</v>
      </c>
      <c r="AF7">
        <v>0</v>
      </c>
    </row>
    <row r="8" spans="1:32" x14ac:dyDescent="0.2">
      <c r="A8" t="s">
        <v>375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1</v>
      </c>
      <c r="AF8">
        <v>0</v>
      </c>
    </row>
    <row r="9" spans="1:32" x14ac:dyDescent="0.2">
      <c r="A9" t="s">
        <v>376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</v>
      </c>
      <c r="Q9">
        <v>0</v>
      </c>
      <c r="R9">
        <v>0</v>
      </c>
      <c r="S9">
        <v>1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2">
      <c r="A10" t="s">
        <v>377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1</v>
      </c>
      <c r="AD10">
        <v>0</v>
      </c>
      <c r="AE10">
        <v>0</v>
      </c>
      <c r="AF10">
        <v>0</v>
      </c>
    </row>
    <row r="11" spans="1:32" x14ac:dyDescent="0.2">
      <c r="A11" t="s">
        <v>378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</v>
      </c>
      <c r="J11">
        <v>1</v>
      </c>
      <c r="K11">
        <v>1</v>
      </c>
      <c r="L11">
        <v>0</v>
      </c>
      <c r="M11">
        <v>0</v>
      </c>
      <c r="N11">
        <v>0</v>
      </c>
      <c r="O11">
        <v>0</v>
      </c>
      <c r="P11">
        <v>0</v>
      </c>
      <c r="Q11">
        <v>1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2">
      <c r="A12" t="s">
        <v>379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1</v>
      </c>
    </row>
    <row r="13" spans="1:32" x14ac:dyDescent="0.2">
      <c r="A13" t="s">
        <v>380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1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2">
      <c r="A14" t="s">
        <v>381</v>
      </c>
      <c r="B14">
        <v>0</v>
      </c>
      <c r="C14">
        <v>0</v>
      </c>
      <c r="D14">
        <v>0</v>
      </c>
      <c r="E14">
        <v>0</v>
      </c>
      <c r="F14">
        <v>1</v>
      </c>
      <c r="G14">
        <v>1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1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2">
      <c r="A15" t="s">
        <v>382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1</v>
      </c>
      <c r="Y15">
        <v>1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2">
      <c r="A16" t="s">
        <v>383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2">
      <c r="A17" t="s">
        <v>384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1</v>
      </c>
      <c r="Y17">
        <v>0</v>
      </c>
      <c r="Z17">
        <v>0</v>
      </c>
      <c r="AA17">
        <v>0</v>
      </c>
      <c r="AB17">
        <v>0</v>
      </c>
      <c r="AC17">
        <v>1</v>
      </c>
      <c r="AD17">
        <v>0</v>
      </c>
      <c r="AE17">
        <v>0</v>
      </c>
      <c r="AF17">
        <v>0</v>
      </c>
    </row>
    <row r="18" spans="1:32" x14ac:dyDescent="0.2">
      <c r="A18" t="s">
        <v>385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2">
      <c r="A19" t="s">
        <v>386</v>
      </c>
      <c r="B19">
        <v>0</v>
      </c>
      <c r="C19">
        <v>0</v>
      </c>
      <c r="D19">
        <v>0</v>
      </c>
      <c r="E19">
        <v>0</v>
      </c>
      <c r="F19">
        <v>1</v>
      </c>
      <c r="G19">
        <v>0</v>
      </c>
      <c r="H19">
        <v>0</v>
      </c>
      <c r="I19">
        <v>1</v>
      </c>
      <c r="J19">
        <v>0</v>
      </c>
      <c r="K19">
        <v>1</v>
      </c>
      <c r="L19">
        <v>1</v>
      </c>
      <c r="M19">
        <v>1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2">
      <c r="A20" t="s">
        <v>389</v>
      </c>
      <c r="B20">
        <v>0</v>
      </c>
      <c r="C20">
        <v>0</v>
      </c>
      <c r="D20">
        <v>1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2">
      <c r="A21" t="s">
        <v>390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2">
      <c r="A22" t="s">
        <v>391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1</v>
      </c>
      <c r="J22">
        <v>0</v>
      </c>
      <c r="K22">
        <v>1</v>
      </c>
      <c r="L22">
        <v>1</v>
      </c>
      <c r="M22">
        <v>0</v>
      </c>
      <c r="N22">
        <v>0</v>
      </c>
      <c r="O22">
        <v>0</v>
      </c>
      <c r="P22">
        <v>1</v>
      </c>
      <c r="Q22">
        <v>1</v>
      </c>
      <c r="R22">
        <v>1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2">
      <c r="A23" t="s">
        <v>392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1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2">
      <c r="A24" t="s">
        <v>393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1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2">
      <c r="A25" t="s">
        <v>395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1</v>
      </c>
      <c r="AF25">
        <v>0</v>
      </c>
    </row>
    <row r="26" spans="1:32" x14ac:dyDescent="0.2">
      <c r="A26" t="s">
        <v>396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1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2">
      <c r="A27" t="s">
        <v>397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1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2">
      <c r="A28" t="s">
        <v>398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1</v>
      </c>
      <c r="Y28">
        <v>0</v>
      </c>
      <c r="Z28">
        <v>0</v>
      </c>
      <c r="AA28">
        <v>0</v>
      </c>
      <c r="AB28">
        <v>1</v>
      </c>
      <c r="AC28">
        <v>0</v>
      </c>
      <c r="AD28">
        <v>0</v>
      </c>
      <c r="AE28">
        <v>0</v>
      </c>
      <c r="AF28">
        <v>0</v>
      </c>
    </row>
    <row r="29" spans="1:32" x14ac:dyDescent="0.2">
      <c r="A29" t="s">
        <v>399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1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2">
      <c r="A30" t="s">
        <v>401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1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</sheetData>
  <pageMargins left="0.7" right="0.7" top="0.75" bottom="0.75" header="0.3" footer="0.3"/>
  <pageSetup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3FECE-F6F0-F84F-8736-6EF5021A4A82}">
  <dimension ref="A1:AG36"/>
  <sheetViews>
    <sheetView topLeftCell="A3" workbookViewId="0">
      <selection activeCell="A35" sqref="A4:AF35"/>
    </sheetView>
  </sheetViews>
  <sheetFormatPr baseColWidth="10" defaultRowHeight="15" x14ac:dyDescent="0.2"/>
  <cols>
    <col min="1" max="1" width="14.1640625" bestFit="1" customWidth="1"/>
    <col min="2" max="2" width="36.33203125" bestFit="1" customWidth="1"/>
    <col min="3" max="3" width="28.83203125" bestFit="1" customWidth="1"/>
    <col min="4" max="4" width="31.83203125" bestFit="1" customWidth="1"/>
    <col min="5" max="5" width="28.33203125" bestFit="1" customWidth="1"/>
    <col min="6" max="6" width="33.5" bestFit="1" customWidth="1"/>
    <col min="7" max="7" width="34.33203125" bestFit="1" customWidth="1"/>
    <col min="8" max="8" width="38.33203125" bestFit="1" customWidth="1"/>
    <col min="9" max="9" width="39.1640625" bestFit="1" customWidth="1"/>
    <col min="10" max="10" width="43.5" bestFit="1" customWidth="1"/>
    <col min="11" max="11" width="49" bestFit="1" customWidth="1"/>
    <col min="12" max="12" width="49.1640625" bestFit="1" customWidth="1"/>
    <col min="13" max="13" width="58.83203125" bestFit="1" customWidth="1"/>
    <col min="14" max="14" width="47" bestFit="1" customWidth="1"/>
    <col min="15" max="15" width="51.5" bestFit="1" customWidth="1"/>
    <col min="16" max="16" width="33.33203125" bestFit="1" customWidth="1"/>
    <col min="17" max="17" width="27.1640625" bestFit="1" customWidth="1"/>
    <col min="18" max="18" width="21" bestFit="1" customWidth="1"/>
    <col min="19" max="19" width="25.5" bestFit="1" customWidth="1"/>
    <col min="20" max="20" width="33.1640625" bestFit="1" customWidth="1"/>
    <col min="21" max="21" width="35" bestFit="1" customWidth="1"/>
    <col min="22" max="22" width="28.83203125" bestFit="1" customWidth="1"/>
    <col min="23" max="23" width="38" bestFit="1" customWidth="1"/>
    <col min="24" max="24" width="32.33203125" bestFit="1" customWidth="1"/>
    <col min="25" max="25" width="28.33203125" bestFit="1" customWidth="1"/>
    <col min="26" max="26" width="26.6640625" bestFit="1" customWidth="1"/>
    <col min="27" max="27" width="20.33203125" bestFit="1" customWidth="1"/>
    <col min="28" max="28" width="31.33203125" bestFit="1" customWidth="1"/>
    <col min="29" max="29" width="48.5" bestFit="1" customWidth="1"/>
    <col min="30" max="30" width="48" bestFit="1" customWidth="1"/>
    <col min="31" max="31" width="47.33203125" bestFit="1" customWidth="1"/>
    <col min="32" max="32" width="32" bestFit="1" customWidth="1"/>
    <col min="33" max="33" width="10" bestFit="1" customWidth="1"/>
    <col min="34" max="34" width="47" bestFit="1" customWidth="1"/>
    <col min="35" max="35" width="48.5" bestFit="1" customWidth="1"/>
    <col min="36" max="36" width="43.1640625" bestFit="1" customWidth="1"/>
    <col min="37" max="37" width="48" bestFit="1" customWidth="1"/>
    <col min="38" max="38" width="47.33203125" bestFit="1" customWidth="1"/>
    <col min="39" max="39" width="32" bestFit="1" customWidth="1"/>
    <col min="40" max="40" width="10" bestFit="1" customWidth="1"/>
  </cols>
  <sheetData>
    <row r="1" spans="1:33" x14ac:dyDescent="0.2">
      <c r="A1" s="16" t="s">
        <v>3</v>
      </c>
      <c r="B1" t="s">
        <v>323</v>
      </c>
    </row>
    <row r="3" spans="1:33" x14ac:dyDescent="0.2">
      <c r="A3" s="16" t="s">
        <v>404</v>
      </c>
      <c r="B3" s="16" t="s">
        <v>403</v>
      </c>
    </row>
    <row r="4" spans="1:33" x14ac:dyDescent="0.2">
      <c r="A4" s="16" t="s">
        <v>367</v>
      </c>
      <c r="B4" t="s">
        <v>358</v>
      </c>
      <c r="C4" t="s">
        <v>364</v>
      </c>
      <c r="D4" t="s">
        <v>329</v>
      </c>
      <c r="E4" t="s">
        <v>354</v>
      </c>
      <c r="F4" t="s">
        <v>359</v>
      </c>
      <c r="G4" t="s">
        <v>342</v>
      </c>
      <c r="H4" t="s">
        <v>341</v>
      </c>
      <c r="I4" t="s">
        <v>361</v>
      </c>
      <c r="J4" t="s">
        <v>345</v>
      </c>
      <c r="K4" t="s">
        <v>356</v>
      </c>
      <c r="L4" t="s">
        <v>335</v>
      </c>
      <c r="M4" t="s">
        <v>360</v>
      </c>
      <c r="N4" t="s">
        <v>353</v>
      </c>
      <c r="O4" t="s">
        <v>363</v>
      </c>
      <c r="P4" t="s">
        <v>352</v>
      </c>
      <c r="Q4" t="s">
        <v>362</v>
      </c>
      <c r="R4" t="s">
        <v>355</v>
      </c>
      <c r="S4" t="s">
        <v>348</v>
      </c>
      <c r="T4" t="s">
        <v>334</v>
      </c>
      <c r="U4" t="s">
        <v>336</v>
      </c>
      <c r="V4" t="s">
        <v>350</v>
      </c>
      <c r="W4" t="s">
        <v>349</v>
      </c>
      <c r="X4" t="s">
        <v>327</v>
      </c>
      <c r="Y4" t="s">
        <v>344</v>
      </c>
      <c r="Z4" t="s">
        <v>347</v>
      </c>
      <c r="AA4" t="s">
        <v>346</v>
      </c>
      <c r="AB4" t="s">
        <v>330</v>
      </c>
      <c r="AC4" t="s">
        <v>357</v>
      </c>
      <c r="AD4" t="s">
        <v>331</v>
      </c>
      <c r="AE4" t="s">
        <v>332</v>
      </c>
      <c r="AF4" t="s">
        <v>339</v>
      </c>
      <c r="AG4" t="s">
        <v>402</v>
      </c>
    </row>
    <row r="5" spans="1:33" x14ac:dyDescent="0.2">
      <c r="A5" t="s">
        <v>368</v>
      </c>
      <c r="B5" s="18"/>
      <c r="C5" s="18"/>
      <c r="D5" s="18"/>
      <c r="E5" s="18"/>
      <c r="F5" s="18"/>
      <c r="G5" s="18">
        <v>1</v>
      </c>
      <c r="H5" s="18">
        <v>1</v>
      </c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>
        <v>2</v>
      </c>
    </row>
    <row r="6" spans="1:33" x14ac:dyDescent="0.2">
      <c r="A6" t="s">
        <v>369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>
        <v>1</v>
      </c>
      <c r="W6" s="18">
        <v>1</v>
      </c>
      <c r="X6" s="18"/>
      <c r="Y6" s="18"/>
      <c r="Z6" s="18"/>
      <c r="AA6" s="18"/>
      <c r="AB6" s="18"/>
      <c r="AC6" s="18"/>
      <c r="AD6" s="18"/>
      <c r="AE6" s="18"/>
      <c r="AF6" s="18"/>
      <c r="AG6" s="18">
        <v>2</v>
      </c>
    </row>
    <row r="7" spans="1:33" x14ac:dyDescent="0.2">
      <c r="A7" t="s">
        <v>371</v>
      </c>
      <c r="B7" s="18"/>
      <c r="C7" s="18"/>
      <c r="D7" s="18">
        <v>1</v>
      </c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>
        <v>1</v>
      </c>
      <c r="X7" s="18"/>
      <c r="Y7" s="18"/>
      <c r="Z7" s="18"/>
      <c r="AA7" s="18"/>
      <c r="AB7" s="18">
        <v>1</v>
      </c>
      <c r="AC7" s="18"/>
      <c r="AD7" s="18"/>
      <c r="AE7" s="18"/>
      <c r="AF7" s="18"/>
      <c r="AG7" s="18">
        <v>3</v>
      </c>
    </row>
    <row r="8" spans="1:33" x14ac:dyDescent="0.2">
      <c r="A8" t="s">
        <v>372</v>
      </c>
      <c r="B8" s="18">
        <v>1</v>
      </c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>
        <v>1</v>
      </c>
    </row>
    <row r="9" spans="1:33" x14ac:dyDescent="0.2">
      <c r="A9" t="s">
        <v>373</v>
      </c>
      <c r="B9" s="18"/>
      <c r="C9" s="18"/>
      <c r="D9" s="18"/>
      <c r="E9" s="18"/>
      <c r="F9" s="18">
        <v>1</v>
      </c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>
        <v>1</v>
      </c>
    </row>
    <row r="10" spans="1:33" x14ac:dyDescent="0.2">
      <c r="A10" t="s">
        <v>374</v>
      </c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>
        <v>1</v>
      </c>
      <c r="AE10" s="18"/>
      <c r="AF10" s="18"/>
      <c r="AG10" s="18">
        <v>1</v>
      </c>
    </row>
    <row r="11" spans="1:33" x14ac:dyDescent="0.2">
      <c r="A11" t="s">
        <v>375</v>
      </c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>
        <v>1</v>
      </c>
      <c r="AA11" s="18"/>
      <c r="AB11" s="18"/>
      <c r="AC11" s="18"/>
      <c r="AD11" s="18"/>
      <c r="AE11" s="18">
        <v>1</v>
      </c>
      <c r="AF11" s="18"/>
      <c r="AG11" s="18">
        <v>2</v>
      </c>
    </row>
    <row r="12" spans="1:33" x14ac:dyDescent="0.2">
      <c r="A12" t="s">
        <v>376</v>
      </c>
      <c r="B12" s="18"/>
      <c r="C12" s="18"/>
      <c r="D12" s="18"/>
      <c r="E12" s="18"/>
      <c r="F12" s="18"/>
      <c r="G12" s="18"/>
      <c r="H12" s="18">
        <v>1</v>
      </c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>
        <v>1</v>
      </c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>
        <v>2</v>
      </c>
    </row>
    <row r="13" spans="1:33" x14ac:dyDescent="0.2">
      <c r="A13" t="s">
        <v>378</v>
      </c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>
        <v>1</v>
      </c>
      <c r="M13" s="18">
        <v>1</v>
      </c>
      <c r="N13" s="18">
        <v>1</v>
      </c>
      <c r="O13" s="18"/>
      <c r="P13" s="18"/>
      <c r="Q13" s="18"/>
      <c r="R13" s="18"/>
      <c r="S13" s="18"/>
      <c r="T13" s="18"/>
      <c r="U13" s="18">
        <v>1</v>
      </c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>
        <v>4</v>
      </c>
    </row>
    <row r="14" spans="1:33" x14ac:dyDescent="0.2">
      <c r="A14" t="s">
        <v>379</v>
      </c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>
        <v>1</v>
      </c>
      <c r="AG14" s="18">
        <v>1</v>
      </c>
    </row>
    <row r="15" spans="1:33" x14ac:dyDescent="0.2">
      <c r="A15" t="s">
        <v>381</v>
      </c>
      <c r="B15" s="18"/>
      <c r="C15" s="18"/>
      <c r="D15" s="18"/>
      <c r="E15" s="18"/>
      <c r="F15" s="18"/>
      <c r="G15" s="18"/>
      <c r="H15" s="18">
        <v>1</v>
      </c>
      <c r="I15" s="18"/>
      <c r="J15" s="18">
        <v>1</v>
      </c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>
        <v>1</v>
      </c>
      <c r="Z15" s="18"/>
      <c r="AA15" s="18"/>
      <c r="AB15" s="18"/>
      <c r="AC15" s="18"/>
      <c r="AD15" s="18"/>
      <c r="AE15" s="18"/>
      <c r="AF15" s="18"/>
      <c r="AG15" s="18">
        <v>3</v>
      </c>
    </row>
    <row r="16" spans="1:33" x14ac:dyDescent="0.2">
      <c r="A16" t="s">
        <v>382</v>
      </c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>
        <v>1</v>
      </c>
      <c r="AA16" s="18">
        <v>1</v>
      </c>
      <c r="AB16" s="18"/>
      <c r="AC16" s="18"/>
      <c r="AD16" s="18"/>
      <c r="AE16" s="18"/>
      <c r="AF16" s="18"/>
      <c r="AG16" s="18">
        <v>2</v>
      </c>
    </row>
    <row r="17" spans="1:33" x14ac:dyDescent="0.2">
      <c r="A17" t="s">
        <v>383</v>
      </c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>
        <v>1</v>
      </c>
      <c r="Y17" s="18"/>
      <c r="Z17" s="18"/>
      <c r="AA17" s="18"/>
      <c r="AB17" s="18"/>
      <c r="AC17" s="18"/>
      <c r="AD17" s="18"/>
      <c r="AE17" s="18"/>
      <c r="AF17" s="18"/>
      <c r="AG17" s="18">
        <v>1</v>
      </c>
    </row>
    <row r="18" spans="1:33" x14ac:dyDescent="0.2">
      <c r="A18" t="s">
        <v>384</v>
      </c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>
        <v>1</v>
      </c>
      <c r="AA18" s="18"/>
      <c r="AB18" s="18"/>
      <c r="AC18" s="18"/>
      <c r="AD18" s="18"/>
      <c r="AE18" s="18"/>
      <c r="AF18" s="18"/>
      <c r="AG18" s="18">
        <v>1</v>
      </c>
    </row>
    <row r="19" spans="1:33" x14ac:dyDescent="0.2">
      <c r="A19" t="s">
        <v>385</v>
      </c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>
        <v>1</v>
      </c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>
        <v>1</v>
      </c>
    </row>
    <row r="20" spans="1:33" x14ac:dyDescent="0.2">
      <c r="A20" t="s">
        <v>386</v>
      </c>
      <c r="B20" s="18"/>
      <c r="C20" s="18"/>
      <c r="D20" s="18"/>
      <c r="E20" s="18"/>
      <c r="F20" s="18"/>
      <c r="G20" s="18"/>
      <c r="H20" s="18"/>
      <c r="I20" s="18">
        <v>1</v>
      </c>
      <c r="J20" s="18"/>
      <c r="K20" s="18"/>
      <c r="L20" s="18"/>
      <c r="M20" s="18"/>
      <c r="N20" s="18">
        <v>1</v>
      </c>
      <c r="O20" s="18"/>
      <c r="P20" s="18">
        <v>1</v>
      </c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>
        <v>3</v>
      </c>
    </row>
    <row r="21" spans="1:33" x14ac:dyDescent="0.2">
      <c r="A21" t="s">
        <v>387</v>
      </c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>
        <v>1</v>
      </c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>
        <v>1</v>
      </c>
    </row>
    <row r="22" spans="1:33" x14ac:dyDescent="0.2">
      <c r="A22" t="s">
        <v>388</v>
      </c>
      <c r="B22" s="18"/>
      <c r="C22" s="18">
        <v>1</v>
      </c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>
        <v>1</v>
      </c>
    </row>
    <row r="23" spans="1:33" x14ac:dyDescent="0.2">
      <c r="A23" t="s">
        <v>389</v>
      </c>
      <c r="B23" s="18"/>
      <c r="C23" s="18"/>
      <c r="D23" s="18"/>
      <c r="E23" s="18">
        <v>1</v>
      </c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>
        <v>1</v>
      </c>
    </row>
    <row r="24" spans="1:33" x14ac:dyDescent="0.2">
      <c r="A24" t="s">
        <v>390</v>
      </c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>
        <v>1</v>
      </c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>
        <v>1</v>
      </c>
    </row>
    <row r="25" spans="1:33" x14ac:dyDescent="0.2">
      <c r="A25" t="s">
        <v>391</v>
      </c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>
        <v>1</v>
      </c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>
        <v>1</v>
      </c>
    </row>
    <row r="26" spans="1:33" x14ac:dyDescent="0.2">
      <c r="A26" t="s">
        <v>392</v>
      </c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>
        <v>1</v>
      </c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>
        <v>1</v>
      </c>
    </row>
    <row r="27" spans="1:33" x14ac:dyDescent="0.2">
      <c r="A27" t="s">
        <v>393</v>
      </c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>
        <v>1</v>
      </c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>
        <v>1</v>
      </c>
    </row>
    <row r="28" spans="1:33" x14ac:dyDescent="0.2">
      <c r="A28" t="s">
        <v>394</v>
      </c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>
        <v>1</v>
      </c>
      <c r="AG28" s="18">
        <v>1</v>
      </c>
    </row>
    <row r="29" spans="1:33" x14ac:dyDescent="0.2">
      <c r="A29" t="s">
        <v>395</v>
      </c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>
        <v>1</v>
      </c>
      <c r="AF29" s="18"/>
      <c r="AG29" s="18">
        <v>1</v>
      </c>
    </row>
    <row r="30" spans="1:33" x14ac:dyDescent="0.2">
      <c r="A30" t="s">
        <v>396</v>
      </c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>
        <v>1</v>
      </c>
      <c r="AB30" s="18"/>
      <c r="AC30" s="18"/>
      <c r="AD30" s="18"/>
      <c r="AE30" s="18"/>
      <c r="AF30" s="18"/>
      <c r="AG30" s="18">
        <v>1</v>
      </c>
    </row>
    <row r="31" spans="1:33" x14ac:dyDescent="0.2">
      <c r="A31" t="s">
        <v>397</v>
      </c>
      <c r="B31" s="18"/>
      <c r="C31" s="18"/>
      <c r="D31" s="18"/>
      <c r="E31" s="18"/>
      <c r="F31" s="18"/>
      <c r="G31" s="18"/>
      <c r="H31" s="18"/>
      <c r="I31" s="18"/>
      <c r="J31" s="18"/>
      <c r="K31" s="18">
        <v>1</v>
      </c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>
        <v>1</v>
      </c>
    </row>
    <row r="32" spans="1:33" x14ac:dyDescent="0.2">
      <c r="A32" t="s">
        <v>398</v>
      </c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>
        <v>1</v>
      </c>
      <c r="AA32" s="18"/>
      <c r="AB32" s="18"/>
      <c r="AC32" s="18">
        <v>1</v>
      </c>
      <c r="AD32" s="18"/>
      <c r="AE32" s="18"/>
      <c r="AF32" s="18"/>
      <c r="AG32" s="18">
        <v>2</v>
      </c>
    </row>
    <row r="33" spans="1:33" x14ac:dyDescent="0.2">
      <c r="A33" t="s">
        <v>399</v>
      </c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>
        <v>1</v>
      </c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>
        <v>1</v>
      </c>
    </row>
    <row r="34" spans="1:33" x14ac:dyDescent="0.2">
      <c r="A34" t="s">
        <v>400</v>
      </c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>
        <v>1</v>
      </c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>
        <v>1</v>
      </c>
    </row>
    <row r="35" spans="1:33" x14ac:dyDescent="0.2">
      <c r="A35" t="s">
        <v>401</v>
      </c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>
        <v>1</v>
      </c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>
        <v>1</v>
      </c>
    </row>
    <row r="36" spans="1:33" x14ac:dyDescent="0.2">
      <c r="A36" t="s">
        <v>402</v>
      </c>
      <c r="B36" s="18">
        <v>1</v>
      </c>
      <c r="C36" s="18">
        <v>1</v>
      </c>
      <c r="D36" s="18">
        <v>1</v>
      </c>
      <c r="E36" s="18">
        <v>1</v>
      </c>
      <c r="F36" s="18">
        <v>1</v>
      </c>
      <c r="G36" s="18">
        <v>1</v>
      </c>
      <c r="H36" s="18">
        <v>3</v>
      </c>
      <c r="I36" s="18">
        <v>1</v>
      </c>
      <c r="J36" s="18">
        <v>1</v>
      </c>
      <c r="K36" s="18">
        <v>1</v>
      </c>
      <c r="L36" s="18">
        <v>1</v>
      </c>
      <c r="M36" s="18">
        <v>1</v>
      </c>
      <c r="N36" s="18">
        <v>2</v>
      </c>
      <c r="O36" s="18">
        <v>2</v>
      </c>
      <c r="P36" s="18">
        <v>3</v>
      </c>
      <c r="Q36" s="18">
        <v>1</v>
      </c>
      <c r="R36" s="18">
        <v>2</v>
      </c>
      <c r="S36" s="18">
        <v>1</v>
      </c>
      <c r="T36" s="18">
        <v>1</v>
      </c>
      <c r="U36" s="18">
        <v>2</v>
      </c>
      <c r="V36" s="18">
        <v>1</v>
      </c>
      <c r="W36" s="18">
        <v>2</v>
      </c>
      <c r="X36" s="18">
        <v>1</v>
      </c>
      <c r="Y36" s="18">
        <v>1</v>
      </c>
      <c r="Z36" s="18">
        <v>4</v>
      </c>
      <c r="AA36" s="18">
        <v>2</v>
      </c>
      <c r="AB36" s="18">
        <v>1</v>
      </c>
      <c r="AC36" s="18">
        <v>1</v>
      </c>
      <c r="AD36" s="18">
        <v>1</v>
      </c>
      <c r="AE36" s="18">
        <v>2</v>
      </c>
      <c r="AF36" s="18">
        <v>2</v>
      </c>
      <c r="AG36" s="18">
        <v>46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segmentos</vt:lpstr>
      <vt:lpstr>presencia_largo</vt:lpstr>
      <vt:lpstr>P_matrix</vt:lpstr>
      <vt:lpstr>J_matrix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Luciano Cataldo Alvarado</cp:lastModifiedBy>
  <dcterms:created xsi:type="dcterms:W3CDTF">2025-11-30T19:51:26Z</dcterms:created>
  <dcterms:modified xsi:type="dcterms:W3CDTF">2025-11-30T21:29:19Z</dcterms:modified>
</cp:coreProperties>
</file>